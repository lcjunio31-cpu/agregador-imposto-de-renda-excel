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Contribuinte" sheetId="2" state="visible" r:id="rId4"/>
    <sheet name="Dependentes" sheetId="3" state="visible" r:id="rId5"/>
    <sheet name="Rendimentos" sheetId="4" state="visible" r:id="rId6"/>
    <sheet name="Deduções" sheetId="5" state="visible" r:id="rId7"/>
    <sheet name="Bens e Direitos" sheetId="6" state="visible" r:id="rId8"/>
    <sheet name="Dívidas" sheetId="7" state="visible" r:id="rId9"/>
    <sheet name="Checklist" sheetId="8" state="visible" r:id="rId10"/>
    <sheet name="Resumo" sheetId="9" state="visible" r:id="rId11"/>
    <sheet name="Parâmetros" sheetId="10" state="visible" r:id="rId12"/>
    <sheet name="Lista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<sst xmlns="http://schemas.openxmlformats.org/spreadsheetml/2006/main" count="327" uniqueCount="227">
  <si>
    <t xml:space="preserve">Agregador de dados para o Imposto de Renda</t>
  </si>
  <si>
    <t xml:space="preserve">Dados de exemplo (fictícios) nas abas. Apague antes de usar com suas informações.</t>
  </si>
  <si>
    <t xml:space="preserve">Seção</t>
  </si>
  <si>
    <t xml:space="preserve">O que registrar</t>
  </si>
  <si>
    <t xml:space="preserve">Itens</t>
  </si>
  <si>
    <t xml:space="preserve">Pendências</t>
  </si>
  <si>
    <t xml:space="preserve">Contribuinte</t>
  </si>
  <si>
    <t xml:space="preserve">Nome, CPF e nascimento</t>
  </si>
  <si>
    <t xml:space="preserve">Dependentes</t>
  </si>
  <si>
    <t xml:space="preserve">Quem entra como dependente</t>
  </si>
  <si>
    <t xml:space="preserve">Rendimentos</t>
  </si>
  <si>
    <t xml:space="preserve">Informes de rendimentos recebidos no ano</t>
  </si>
  <si>
    <t xml:space="preserve">Deduções</t>
  </si>
  <si>
    <t xml:space="preserve">Saúde, educação, previdência e pensão</t>
  </si>
  <si>
    <t xml:space="preserve">Bens e Direitos</t>
  </si>
  <si>
    <t xml:space="preserve">Patrimônio em 31/12 dos dois anos</t>
  </si>
  <si>
    <t xml:space="preserve">Dívidas</t>
  </si>
  <si>
    <t xml:space="preserve">Financiamentos e empréstimos</t>
  </si>
  <si>
    <t xml:space="preserve">Checklist</t>
  </si>
  <si>
    <t xml:space="preserve">Documentos que precisam estar em mãos</t>
  </si>
  <si>
    <t xml:space="preserve">Resumo</t>
  </si>
  <si>
    <t xml:space="preserve">Totais, base estimada e verificações</t>
  </si>
  <si>
    <t xml:space="preserve">Parâmetros</t>
  </si>
  <si>
    <t xml:space="preserve">Ano-calendário e limites de referência</t>
  </si>
  <si>
    <t xml:space="preserve">Listas</t>
  </si>
  <si>
    <t xml:space="preserve">Opções dos menus suspensos</t>
  </si>
  <si>
    <t xml:space="preserve">Situação geral</t>
  </si>
  <si>
    <t xml:space="preserve">Links rápidos (abrem no navegador)</t>
  </si>
  <si>
    <t xml:space="preserve">Meu Imposto de Renda (Receita Federal)</t>
  </si>
  <si>
    <t xml:space="preserve">Portal da Receita Federal</t>
  </si>
  <si>
    <t xml:space="preserve">e-CAC: consultas e documentos fiscais</t>
  </si>
  <si>
    <t xml:space="preserve">Ferramenta de organização. Não calcula o imposto devido nem substitui o programa da Receita Federal.</t>
  </si>
  <si>
    <t xml:space="preserve">◄ Voltar ao Menu</t>
  </si>
  <si>
    <t xml:space="preserve">Dados de identificação. O CPF é conferido pelos dígitos verificadores.</t>
  </si>
  <si>
    <t xml:space="preserve">Campo</t>
  </si>
  <si>
    <t xml:space="preserve">Informação</t>
  </si>
  <si>
    <t xml:space="preserve">Conferência</t>
  </si>
  <si>
    <t xml:space="preserve">Nome completo</t>
  </si>
  <si>
    <t xml:space="preserve">Fulano de Tal (exemplo)</t>
  </si>
  <si>
    <t xml:space="preserve">CPF</t>
  </si>
  <si>
    <t xml:space="preserve">111.444.777-35</t>
  </si>
  <si>
    <t xml:space="preserve">Data de nascimento</t>
  </si>
  <si>
    <t xml:space="preserve">Ocupação principal</t>
  </si>
  <si>
    <t xml:space="preserve">Analista</t>
  </si>
  <si>
    <t xml:space="preserve">Município e UF</t>
  </si>
  <si>
    <t xml:space="preserve">São Paulo/SP</t>
  </si>
  <si>
    <t xml:space="preserve">Dados de exemplo (fictícios). Apague antes de usar.</t>
  </si>
  <si>
    <t xml:space="preserve">Até 10 dependentes. Cada um gera a dedução anual definida em Parâmetros.</t>
  </si>
  <si>
    <t xml:space="preserve">Nome</t>
  </si>
  <si>
    <t xml:space="preserve">Parentesco</t>
  </si>
  <si>
    <t xml:space="preserve">CPF válido?</t>
  </si>
  <si>
    <t xml:space="preserve">Status</t>
  </si>
  <si>
    <t xml:space="preserve">Filho Exemplo</t>
  </si>
  <si>
    <t xml:space="preserve">529.982.247-25</t>
  </si>
  <si>
    <t xml:space="preserve">Filho(a) ou enteado(a)</t>
  </si>
  <si>
    <t xml:space="preserve">Um lançamento por fonte pagadora e tipo (use os totais do informe de rendimentos). A classe é preenchida sozinha.</t>
  </si>
  <si>
    <t xml:space="preserve">Data de referência</t>
  </si>
  <si>
    <t xml:space="preserve">Fonte pagadora</t>
  </si>
  <si>
    <t xml:space="preserve">CNPJ ou CPF da fonte</t>
  </si>
  <si>
    <t xml:space="preserve">Tipo de rendimento</t>
  </si>
  <si>
    <t xml:space="preserve">Classe (automática)</t>
  </si>
  <si>
    <t xml:space="preserve">Valor bruto (R$)</t>
  </si>
  <si>
    <t xml:space="preserve">Imposto retido (R$)</t>
  </si>
  <si>
    <t xml:space="preserve">INSS retido (R$)</t>
  </si>
  <si>
    <t xml:space="preserve">Informe recebido?</t>
  </si>
  <si>
    <t xml:space="preserve">Observação</t>
  </si>
  <si>
    <t xml:space="preserve">Empresa Exemplo Ltda</t>
  </si>
  <si>
    <t xml:space="preserve">12.345.678/0001-95</t>
  </si>
  <si>
    <t xml:space="preserve">Salário ou pró-labore</t>
  </si>
  <si>
    <t xml:space="preserve">Sim</t>
  </si>
  <si>
    <t xml:space="preserve">13º salário</t>
  </si>
  <si>
    <t xml:space="preserve">Banco Exemplo S.A.</t>
  </si>
  <si>
    <t xml:space="preserve">98.765.432/0001-10</t>
  </si>
  <si>
    <t xml:space="preserve">Rendimento de aplicação financeira</t>
  </si>
  <si>
    <t xml:space="preserve">Verbas rescisórias indenizatórias e FGTS</t>
  </si>
  <si>
    <t xml:space="preserve">Não</t>
  </si>
  <si>
    <t xml:space="preserve">Um lançamento por comprovante ou grupo de comprovantes. Educação tem limite por pessoa, saúde não tem limite.</t>
  </si>
  <si>
    <t xml:space="preserve">Data</t>
  </si>
  <si>
    <t xml:space="preserve">Tipo de dedução</t>
  </si>
  <si>
    <t xml:space="preserve">Beneficiário</t>
  </si>
  <si>
    <t xml:space="preserve">Prestador ou descrição</t>
  </si>
  <si>
    <t xml:space="preserve">CNPJ ou CPF do prestador</t>
  </si>
  <si>
    <t xml:space="preserve">Valor (R$)</t>
  </si>
  <si>
    <t xml:space="preserve">Comprovante guardado?</t>
  </si>
  <si>
    <t xml:space="preserve">Saúde</t>
  </si>
  <si>
    <t xml:space="preserve">Clínica Exemplo</t>
  </si>
  <si>
    <t xml:space="preserve">23.456.789/0001-01</t>
  </si>
  <si>
    <t xml:space="preserve">Dentista Exemplo</t>
  </si>
  <si>
    <t xml:space="preserve">Educação</t>
  </si>
  <si>
    <t xml:space="preserve">Escola Exemplo</t>
  </si>
  <si>
    <t xml:space="preserve">34.567.890/0001-12</t>
  </si>
  <si>
    <t xml:space="preserve">Previdência privada (PGBL)</t>
  </si>
  <si>
    <t xml:space="preserve">Previdência Exemplo</t>
  </si>
  <si>
    <t xml:space="preserve">45.678.901/0001-23</t>
  </si>
  <si>
    <t xml:space="preserve">Informe o valor em 31/12 do ano anterior e em 31/12 do ano-calendário. Bens baixados no ano: valor atual 0.</t>
  </si>
  <si>
    <t xml:space="preserve">Grupo</t>
  </si>
  <si>
    <t xml:space="preserve">Descrição</t>
  </si>
  <si>
    <t xml:space="preserve">Instituição ou localização</t>
  </si>
  <si>
    <t xml:space="preserve">Valor em 31/12 do ano anterior (R$)</t>
  </si>
  <si>
    <t xml:space="preserve">Valor em 31/12 do ano-calendário (R$)</t>
  </si>
  <si>
    <t xml:space="preserve">Variação (R$)</t>
  </si>
  <si>
    <t xml:space="preserve">02 Bens móveis</t>
  </si>
  <si>
    <t xml:space="preserve">Veículo (exemplo)</t>
  </si>
  <si>
    <t xml:space="preserve">Garagem</t>
  </si>
  <si>
    <t xml:space="preserve">06 Depósitos à vista e numerário</t>
  </si>
  <si>
    <t xml:space="preserve">Conta corrente (exemplo)</t>
  </si>
  <si>
    <t xml:space="preserve">Dívidas e ônus reais</t>
  </si>
  <si>
    <t xml:space="preserve">Financiamentos, empréstimos e outras obrigações. Informe o saldo devedor em 31/12 dos dois anos.</t>
  </si>
  <si>
    <t xml:space="preserve">Credor</t>
  </si>
  <si>
    <t xml:space="preserve">Saldo em 31/12 do ano anterior (R$)</t>
  </si>
  <si>
    <t xml:space="preserve">Saldo em 31/12 do ano-calendário (R$)</t>
  </si>
  <si>
    <t xml:space="preserve">Financeira Exemplo</t>
  </si>
  <si>
    <t xml:space="preserve">Financiamento (exemplo)</t>
  </si>
  <si>
    <t xml:space="preserve">Checklist de documentos</t>
  </si>
  <si>
    <t xml:space="preserve">Marque o que já está em mãos. Documentos obrigatórios não recebidos aparecem como pendência.</t>
  </si>
  <si>
    <t xml:space="preserve">Documento</t>
  </si>
  <si>
    <t xml:space="preserve">Obrigatório?</t>
  </si>
  <si>
    <t xml:space="preserve">Recebido?</t>
  </si>
  <si>
    <t xml:space="preserve">Informes de rendimentos dos empregadores</t>
  </si>
  <si>
    <t xml:space="preserve">Informes de rendimentos de bancos e corretoras</t>
  </si>
  <si>
    <t xml:space="preserve">Termo de rescisão e extrato do FGTS</t>
  </si>
  <si>
    <t xml:space="preserve">Comprovante do seguro-desemprego</t>
  </si>
  <si>
    <t xml:space="preserve">Recibos e notas de despesas médicas</t>
  </si>
  <si>
    <t xml:space="preserve">Comprovantes de mensalidades escolares</t>
  </si>
  <si>
    <t xml:space="preserve">Informe do plano de saúde</t>
  </si>
  <si>
    <t xml:space="preserve">Informe ou extrato do PGBL</t>
  </si>
  <si>
    <t xml:space="preserve">Documentos de bens (veículo, imóvel)</t>
  </si>
  <si>
    <t xml:space="preserve">Extrato de dívidas e financiamentos</t>
  </si>
  <si>
    <t xml:space="preserve">CPF e nascimento dos dependentes</t>
  </si>
  <si>
    <t xml:space="preserve">Recibos de pensão alimentícia paga</t>
  </si>
  <si>
    <t xml:space="preserve">Resumo e verificações</t>
  </si>
  <si>
    <t xml:space="preserve">Tudo aqui é calculado a partir das outras abas. Não digite nada nesta página.</t>
  </si>
  <si>
    <t xml:space="preserve">1. Rendimentos do ano-calendário</t>
  </si>
  <si>
    <t xml:space="preserve">Rendimentos tributáveis</t>
  </si>
  <si>
    <t xml:space="preserve">Sujeitos à tributação exclusiva na fonte</t>
  </si>
  <si>
    <t xml:space="preserve">Isentos e não tributáveis</t>
  </si>
  <si>
    <t xml:space="preserve">A conferir (classe indefinida)</t>
  </si>
  <si>
    <t xml:space="preserve">Confirme a classificação no programa da Receita</t>
  </si>
  <si>
    <t xml:space="preserve">Imposto retido na fonte</t>
  </si>
  <si>
    <t xml:space="preserve">2. Deduções estimadas</t>
  </si>
  <si>
    <t xml:space="preserve">Previdência oficial (INSS retido + carnê ou GPS)</t>
  </si>
  <si>
    <t xml:space="preserve">Saúde (sem limite)</t>
  </si>
  <si>
    <t xml:space="preserve">Educação (limitada por pessoa)</t>
  </si>
  <si>
    <t xml:space="preserve">Ver quadro de educação por pessoa, mais abaixo</t>
  </si>
  <si>
    <t xml:space="preserve">Previdência privada PGBL (até o limite)</t>
  </si>
  <si>
    <t xml:space="preserve">Pensão alimentícia judicial</t>
  </si>
  <si>
    <t xml:space="preserve">Total de deduções estimadas</t>
  </si>
  <si>
    <t xml:space="preserve">Base estimada (tributáveis − deduções)</t>
  </si>
  <si>
    <t xml:space="preserve">Antes da tabela do imposto e do desconto simplificado. Não é o imposto devido.</t>
  </si>
  <si>
    <t xml:space="preserve">3. Patrimônio</t>
  </si>
  <si>
    <t xml:space="preserve">Bens e direitos em 31/12 do ano anterior</t>
  </si>
  <si>
    <t xml:space="preserve">Bens e direitos em 31/12 do ano-calendário</t>
  </si>
  <si>
    <t xml:space="preserve">Dívidas em 31/12 do ano anterior</t>
  </si>
  <si>
    <t xml:space="preserve">Dívidas em 31/12 do ano-calendário</t>
  </si>
  <si>
    <t xml:space="preserve">Patrimônio líquido anterior</t>
  </si>
  <si>
    <t xml:space="preserve">Patrimônio líquido atual</t>
  </si>
  <si>
    <t xml:space="preserve">Variação do patrimônio líquido</t>
  </si>
  <si>
    <t xml:space="preserve">4. Verificações</t>
  </si>
  <si>
    <t xml:space="preserve">Verificação</t>
  </si>
  <si>
    <t xml:space="preserve">Ocorrências</t>
  </si>
  <si>
    <t xml:space="preserve">Situação</t>
  </si>
  <si>
    <t xml:space="preserve">Onde corrigir</t>
  </si>
  <si>
    <t xml:space="preserve">Contribuinte com dados incompletos ou CPF inválido</t>
  </si>
  <si>
    <t xml:space="preserve">Ir para Contribuinte</t>
  </si>
  <si>
    <t xml:space="preserve">Dependentes com dados incompletos ou CPF inválido</t>
  </si>
  <si>
    <t xml:space="preserve">Ir para Dependentes</t>
  </si>
  <si>
    <t xml:space="preserve">Rendimentos a revisar (campos faltando ou documento inválido)</t>
  </si>
  <si>
    <t xml:space="preserve">Ir para Rendimentos</t>
  </si>
  <si>
    <t xml:space="preserve">Rendimentos sem informe recebido</t>
  </si>
  <si>
    <t xml:space="preserve">Rendimentos com classe a conferir</t>
  </si>
  <si>
    <t xml:space="preserve">Deduções a revisar (campos faltando ou documento inválido)</t>
  </si>
  <si>
    <t xml:space="preserve">Ir para Deduções</t>
  </si>
  <si>
    <t xml:space="preserve">Deduções sem comprovante guardado</t>
  </si>
  <si>
    <t xml:space="preserve">Pessoas com despesa de educação acima do limite</t>
  </si>
  <si>
    <t xml:space="preserve">PGBL acima do limite de dedução</t>
  </si>
  <si>
    <t xml:space="preserve">Bens e dívidas a revisar</t>
  </si>
  <si>
    <t xml:space="preserve">Ir para Bens e Direitos</t>
  </si>
  <si>
    <t xml:space="preserve">Documentos obrigatórios pendentes</t>
  </si>
  <si>
    <t xml:space="preserve">Ir para Checklist</t>
  </si>
  <si>
    <t xml:space="preserve">Pendências a resolver</t>
  </si>
  <si>
    <t xml:space="preserve">Avisos para conferir</t>
  </si>
  <si>
    <t xml:space="preserve">Educação por pessoa (limite anual por pessoa definido em Parâmetros)</t>
  </si>
  <si>
    <t xml:space="preserve">Gasto (R$)</t>
  </si>
  <si>
    <t xml:space="preserve">Dedutível (R$)</t>
  </si>
  <si>
    <t xml:space="preserve">Excedente (R$)</t>
  </si>
  <si>
    <t xml:space="preserve">Parâmetro</t>
  </si>
  <si>
    <t xml:space="preserve">Valor</t>
  </si>
  <si>
    <t xml:space="preserve">Ano-calendário</t>
  </si>
  <si>
    <t xml:space="preserve">Ano dos rendimentos e despesas que você vai declarar</t>
  </si>
  <si>
    <t xml:space="preserve">Exercício (ano da declaração)</t>
  </si>
  <si>
    <t xml:space="preserve">Calculado</t>
  </si>
  <si>
    <t xml:space="preserve">Limite anual de dedução com instrução, por pessoa (R$)</t>
  </si>
  <si>
    <t xml:space="preserve">Valor de referência dos últimos anos; confirmar no ano da declaração</t>
  </si>
  <si>
    <t xml:space="preserve">Dedução anual por dependente (R$)</t>
  </si>
  <si>
    <t xml:space="preserve">Limite de dedução do PGBL (% dos rendimentos tributáveis)</t>
  </si>
  <si>
    <t xml:space="preserve">Limite de 12% dos rendimentos tributáveis</t>
  </si>
  <si>
    <t xml:space="preserve">Esta ferramenta organiza dados e confere pendências. Ela não calcula o imposto devido nem substitui o programa da Receita Federal.</t>
  </si>
  <si>
    <t xml:space="preserve">Listas de apoio</t>
  </si>
  <si>
    <t xml:space="preserve">Alimentam os menus suspensos. A classificação dos rendimentos é orientativa: confirme no programa da Receita.</t>
  </si>
  <si>
    <t xml:space="preserve">Classe</t>
  </si>
  <si>
    <t xml:space="preserve">Grupo de bens e direitos</t>
  </si>
  <si>
    <t xml:space="preserve">Sim/Não</t>
  </si>
  <si>
    <t xml:space="preserve">Beneficiários (automático)</t>
  </si>
  <si>
    <t xml:space="preserve">Tributável</t>
  </si>
  <si>
    <t xml:space="preserve">Cônjuge ou companheiro(a)</t>
  </si>
  <si>
    <t xml:space="preserve">01 Bens imóveis</t>
  </si>
  <si>
    <t xml:space="preserve">Férias e terço constitucional</t>
  </si>
  <si>
    <t xml:space="preserve">Exclusivo na fonte</t>
  </si>
  <si>
    <t xml:space="preserve">Pai, mãe, avô ou avó</t>
  </si>
  <si>
    <t xml:space="preserve">03 Participações societárias</t>
  </si>
  <si>
    <t xml:space="preserve">Autônomo ou RPA</t>
  </si>
  <si>
    <t xml:space="preserve">Previdência oficial (carnê ou GPS)</t>
  </si>
  <si>
    <t xml:space="preserve">Menor sob guarda</t>
  </si>
  <si>
    <t xml:space="preserve">04 Aplicações e investimentos</t>
  </si>
  <si>
    <t xml:space="preserve">Aluguel recebido</t>
  </si>
  <si>
    <t xml:space="preserve">Outro</t>
  </si>
  <si>
    <t xml:space="preserve">05 Créditos</t>
  </si>
  <si>
    <t xml:space="preserve">Aposentadoria ou pensão previdenciária</t>
  </si>
  <si>
    <t xml:space="preserve">Pensão alimentícia recebida</t>
  </si>
  <si>
    <t xml:space="preserve">07 Fundos</t>
  </si>
  <si>
    <t xml:space="preserve">08 Criptoativos</t>
  </si>
  <si>
    <t xml:space="preserve">Isento ou não tributável</t>
  </si>
  <si>
    <t xml:space="preserve">99 Outros bens e direitos</t>
  </si>
  <si>
    <t xml:space="preserve">Seguro-desemprego</t>
  </si>
  <si>
    <t xml:space="preserve">Conferir</t>
  </si>
  <si>
    <t xml:space="preserve">Lucros e dividendos</t>
  </si>
  <si>
    <t xml:space="preserve">Outros rendimentos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</si>
</sst>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@"/>
    <numFmt numFmtId="167" formatCode="dd/mm/yyyy"/>
    <numFmt numFmtId="168" formatCode="&quot;R$ &quot;#,##0.00;&quot;(R$ &quot;#,##0.00\);\-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FFBE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DEDED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/pt-br/assuntos/meu-imposto-de-renda" TargetMode="External"/><Relationship Id="rId2" Type="http://schemas.openxmlformats.org/officeDocument/2006/relationships/hyperlink" Target="https://www.gov.br/receitafederal/pt-br" TargetMode="External"/><Relationship Id="rId3" Type="http://schemas.openxmlformats.org/officeDocument/2006/relationships/hyperlink" Target="https://cav.receita.fazenda.gov.b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"Ano-calendário "&amp;Parâmetros!B4&amp;" | Declaração do exercício "&amp;Parâmetros!B5</f>
        <v>Ano-calendário 2026 | Declaração do exercício 2027</v>
      </c>
    </row>
    <row r="3" customFormat="false" ht="15" hidden="false" customHeight="false" outlineLevel="0" collapsed="false">
      <c r="A3" s="3" t="s">
        <v>1</v>
      </c>
    </row>
    <row r="5" customFormat="false" ht="24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21.75" hidden="false" customHeight="true" outlineLevel="0" collapsed="false">
      <c r="A6" s="5" t="s">
        <v>6</v>
      </c>
      <c r="B6" s="6" t="s">
        <v>7</v>
      </c>
      <c r="C6" s="7" t="n">
        <f aca="false">IF(Contribuinte!B5&lt;&gt;"",1,0)</f>
        <v>1</v>
      </c>
      <c r="D6" s="7" t="n">
        <f aca="false">Resumo!B34</f>
        <v>0</v>
      </c>
    </row>
    <row r="7" customFormat="false" ht="21.75" hidden="false" customHeight="true" outlineLevel="0" collapsed="false">
      <c r="A7" s="5" t="s">
        <v>8</v>
      </c>
      <c r="B7" s="6" t="s">
        <v>9</v>
      </c>
      <c r="C7" s="7" t="n">
        <f aca="false">COUNTA(Dependentes!A6:A15)</f>
        <v>1</v>
      </c>
      <c r="D7" s="7" t="n">
        <f aca="false">Resumo!B35</f>
        <v>0</v>
      </c>
    </row>
    <row r="8" customFormat="false" ht="21.75" hidden="false" customHeight="true" outlineLevel="0" collapsed="false">
      <c r="A8" s="5" t="s">
        <v>10</v>
      </c>
      <c r="B8" s="6" t="s">
        <v>11</v>
      </c>
      <c r="C8" s="7" t="n">
        <f aca="false">SUMPRODUCT(--(Rendimentos!K6:K105&lt;&gt;""))</f>
        <v>4</v>
      </c>
      <c r="D8" s="7" t="n">
        <f aca="false">Resumo!B36+Resumo!B37</f>
        <v>1</v>
      </c>
    </row>
    <row r="9" customFormat="false" ht="21.75" hidden="false" customHeight="true" outlineLevel="0" collapsed="false">
      <c r="A9" s="5" t="s">
        <v>12</v>
      </c>
      <c r="B9" s="6" t="s">
        <v>13</v>
      </c>
      <c r="C9" s="7" t="n">
        <f aca="false">SUMPRODUCT(--(Deduções!I6:I155&lt;&gt;""))</f>
        <v>4</v>
      </c>
      <c r="D9" s="7" t="n">
        <f aca="false">Resumo!B39+Resumo!B40</f>
        <v>1</v>
      </c>
    </row>
    <row r="10" customFormat="false" ht="21.75" hidden="false" customHeight="true" outlineLevel="0" collapsed="false">
      <c r="A10" s="5" t="s">
        <v>14</v>
      </c>
      <c r="B10" s="6" t="s">
        <v>15</v>
      </c>
      <c r="C10" s="7" t="n">
        <f aca="false">SUMPRODUCT(--('Bens e Direitos'!G6:G65&lt;&gt;""))</f>
        <v>2</v>
      </c>
      <c r="D10" s="7" t="n">
        <f aca="false">COUNTIF('Bens e Direitos'!G6:G65,"Revisar")</f>
        <v>0</v>
      </c>
    </row>
    <row r="11" customFormat="false" ht="21.75" hidden="false" customHeight="true" outlineLevel="0" collapsed="false">
      <c r="A11" s="5" t="s">
        <v>16</v>
      </c>
      <c r="B11" s="6" t="s">
        <v>17</v>
      </c>
      <c r="C11" s="7" t="n">
        <f aca="false">SUMPRODUCT(--(Dívidas!F6:F35&lt;&gt;""))</f>
        <v>1</v>
      </c>
      <c r="D11" s="7" t="n">
        <f aca="false">COUNTIF(Dívidas!F6:F35,"Revisar")</f>
        <v>0</v>
      </c>
    </row>
    <row r="12" customFormat="false" ht="21.75" hidden="false" customHeight="true" outlineLevel="0" collapsed="false">
      <c r="A12" s="5" t="s">
        <v>18</v>
      </c>
      <c r="B12" s="6" t="s">
        <v>19</v>
      </c>
      <c r="C12" s="7" t="n">
        <f aca="false">SUMPRODUCT(--(Checklist!E6:E25&lt;&gt;""))</f>
        <v>12</v>
      </c>
      <c r="D12" s="7" t="n">
        <f aca="false">Resumo!B44</f>
        <v>0</v>
      </c>
    </row>
    <row r="13" customFormat="false" ht="21.75" hidden="false" customHeight="true" outlineLevel="0" collapsed="false">
      <c r="A13" s="5" t="s">
        <v>20</v>
      </c>
      <c r="B13" s="6" t="s">
        <v>21</v>
      </c>
      <c r="C13" s="7"/>
      <c r="D13" s="7" t="n">
        <f aca="false">Resumo!B46</f>
        <v>2</v>
      </c>
    </row>
    <row r="14" customFormat="false" ht="21.75" hidden="false" customHeight="true" outlineLevel="0" collapsed="false">
      <c r="A14" s="5" t="s">
        <v>22</v>
      </c>
      <c r="B14" s="6" t="s">
        <v>23</v>
      </c>
      <c r="C14" s="7"/>
      <c r="D14" s="7"/>
    </row>
    <row r="15" customFormat="false" ht="21.75" hidden="false" customHeight="true" outlineLevel="0" collapsed="false">
      <c r="A15" s="5" t="s">
        <v>24</v>
      </c>
      <c r="B15" s="6" t="s">
        <v>25</v>
      </c>
      <c r="C15" s="7"/>
      <c r="D15" s="7"/>
    </row>
    <row r="17" customFormat="false" ht="15" hidden="false" customHeight="false" outlineLevel="0" collapsed="false">
      <c r="A17" s="8" t="s">
        <v>26</v>
      </c>
      <c r="B17" s="9"/>
      <c r="C17" s="9"/>
      <c r="D17" s="9"/>
    </row>
    <row r="18" customFormat="false" ht="15" hidden="false" customHeight="false" outlineLevel="0" collapsed="false">
      <c r="A18" s="10" t="str">
        <f aca="false">IF(Resumo!B46=0,"Sem pendências. Confira os avisos no Resumo antes de transmitir.","Pendências a resolver: "&amp;Resumo!B46&amp;". Avisos para conferir: "&amp;Resumo!B47&amp;".")</f>
        <v>Pendências a resolver: 2. Avisos para conferir: 1.</v>
      </c>
    </row>
    <row r="20" customFormat="false" ht="15" hidden="false" customHeight="false" outlineLevel="0" collapsed="false">
      <c r="A20" s="8" t="s">
        <v>27</v>
      </c>
      <c r="B20" s="9"/>
      <c r="C20" s="9"/>
      <c r="D20" s="9"/>
    </row>
    <row r="21" customFormat="false" ht="15" hidden="false" customHeight="false" outlineLevel="0" collapsed="false">
      <c r="A21" s="11" t="s">
        <v>28</v>
      </c>
    </row>
    <row r="22" customFormat="false" ht="15" hidden="false" customHeight="false" outlineLevel="0" collapsed="false">
      <c r="A22" s="11" t="s">
        <v>29</v>
      </c>
    </row>
    <row r="23" customFormat="false" ht="15" hidden="false" customHeight="false" outlineLevel="0" collapsed="false">
      <c r="A23" s="11" t="s">
        <v>30</v>
      </c>
    </row>
    <row r="25" customFormat="false" ht="15" hidden="false" customHeight="false" outlineLevel="0" collapsed="false">
      <c r="A25" s="12" t="s">
        <v>31</v>
      </c>
    </row>
  </sheetData>
  <conditionalFormatting sqref="D6:D15">
    <cfRule type="cellIs" priority="2" operator="greaterThan" aboveAverage="0" equalAverage="0" bottom="0" percent="0" rank="0" text="" dxfId="0">
      <formula>0</formula>
    </cfRule>
    <cfRule type="expression" priority="3" aboveAverage="0" equalAverage="0" bottom="0" percent="0" rank="0" text="" dxfId="1">
      <formula>AND(D6&lt;&gt;"",D6=0)</formula>
    </cfRule>
  </conditionalFormatting>
  <hyperlinks>
    <hyperlink ref="A6" location="'Contribuinte'!A1" display="Contribuinte"/>
    <hyperlink ref="A7" location="'Dependentes'!A1" display="Dependentes"/>
    <hyperlink ref="A8" location="'Rendimentos'!A1" display="Rendimentos"/>
    <hyperlink ref="A9" location="'Deduções'!A1" display="Deduções"/>
    <hyperlink ref="A10" location="'Bens e Direitos'!A1" display="Bens e Direitos"/>
    <hyperlink ref="A11" location="'Dívidas'!A1" display="Dívidas"/>
    <hyperlink ref="A12" location="'Checklist'!A1" display="Checklist"/>
    <hyperlink ref="A13" location="'Resumo'!A1" display="Resumo"/>
    <hyperlink ref="A14" location="'Parâmetros'!A1" display="Parâmetros"/>
    <hyperlink ref="A15" location="'Listas'!A1" display="Listas"/>
    <hyperlink ref="A21" r:id="rId1" display="Meu Imposto de Renda (Receita Federal)"/>
    <hyperlink ref="A22" r:id="rId2" display="Portal da Receita Federal"/>
    <hyperlink ref="A23" r:id="rId3" display="e-CAC: consultas e documentos fisca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6</v>
      </c>
    </row>
    <row r="3" customFormat="false" ht="15" hidden="false" customHeight="false" outlineLevel="0" collapsed="false">
      <c r="A3" s="12" t="s">
        <v>33</v>
      </c>
    </row>
    <row r="4" customFormat="false" ht="21.75" hidden="false" customHeight="true" outlineLevel="0" collapsed="false">
      <c r="A4" s="4" t="s">
        <v>34</v>
      </c>
      <c r="B4" s="4" t="s">
        <v>35</v>
      </c>
      <c r="C4" s="4" t="s">
        <v>36</v>
      </c>
    </row>
    <row r="5" customFormat="false" ht="15" hidden="false" customHeight="false" outlineLevel="0" collapsed="false">
      <c r="A5" s="14" t="s">
        <v>37</v>
      </c>
      <c r="B5" s="15" t="s">
        <v>38</v>
      </c>
      <c r="C5" s="16" t="str">
        <f aca="false">IF(B5="","Preencher","OK")</f>
        <v>OK</v>
      </c>
    </row>
    <row r="6" customFormat="false" ht="15" hidden="false" customHeight="false" outlineLevel="0" collapsed="false">
      <c r="A6" s="14" t="s">
        <v>39</v>
      </c>
      <c r="B6" s="15" t="s">
        <v>40</v>
      </c>
      <c r="C6" s="16" t="str">
        <f aca="false">IF(B6="","Preencher",IF(IFERROR(AND(LEN(SUBSTITUTE(SUBSTITUTE(SUBSTITUTE(SUBSTITUTE(B6,".",""),"-","")," ",""),"/",""))=11,SUBSTITUTE(SUBSTITUTE(SUBSTITUTE(SUBSTITUTE(B6,".",""),"-","")," ",""),"/","")&lt;&gt;REPT(LEFT(SUBSTITUTE(SUBSTITUTE(SUBSTITUTE(SUBSTITUTE(B6,".",""),"-","")," ",""),"/",""),1),11),VALUE(MID(SUBSTITUTE(SUBSTITUTE(SUBSTITUTE(SUBSTITUTE(B6,".",""),"-","")," ",""),"/",""),10,1))=IF(MOD(SUMPRODUCT(--MID(SUBSTITUTE(SUBSTITUTE(SUBSTITUTE(SUBSTITUTE(B6,".",""),"-","")," ",""),"/",""),{1,2,3,4,5,6,7,8,9},1),{10,9,8,7,6,5,4,3,2}),11)&lt;2,0,11-MOD(SUMPRODUCT(--MID(SUBSTITUTE(SUBSTITUTE(SUBSTITUTE(SUBSTITUTE(B6,".",""),"-","")," ",""),"/",""),{1,2,3,4,5,6,7,8,9},1),{10,9,8,7,6,5,4,3,2}),11)),VALUE(MID(SUBSTITUTE(SUBSTITUTE(SUBSTITUTE(SUBSTITUTE(B6,".",""),"-","")," ",""),"/",""),11,1))=IF(MOD(SUMPRODUCT(--MID(SUBSTITUTE(SUBSTITUTE(SUBSTITUTE(SUBSTITUTE(B6,".",""),"-","")," ",""),"/",""),{1,2,3,4,5,6,7,8,9,10},1),{11,10,9,8,7,6,5,4,3,2}),11)&lt;2,0,11-MOD(SUMPRODUCT(--MID(SUBSTITUTE(SUBSTITUTE(SUBSTITUTE(SUBSTITUTE(B6,".",""),"-","")," ",""),"/",""),{1,2,3,4,5,6,7,8,9,10},1),{11,10,9,8,7,6,5,4,3,2}),11))),FALSE()),"CPF válido","CPF inválido"))</f>
        <v>CPF válido</v>
      </c>
    </row>
    <row r="7" customFormat="false" ht="15" hidden="false" customHeight="false" outlineLevel="0" collapsed="false">
      <c r="A7" s="14" t="s">
        <v>41</v>
      </c>
      <c r="B7" s="17" t="n">
        <v>29351</v>
      </c>
      <c r="C7" s="16" t="str">
        <f aca="false">IF(B7="","Preencher","OK")</f>
        <v>OK</v>
      </c>
    </row>
    <row r="8" customFormat="false" ht="15" hidden="false" customHeight="false" outlineLevel="0" collapsed="false">
      <c r="A8" s="14" t="s">
        <v>42</v>
      </c>
      <c r="B8" s="15" t="s">
        <v>43</v>
      </c>
    </row>
    <row r="9" customFormat="false" ht="15" hidden="false" customHeight="false" outlineLevel="0" collapsed="false">
      <c r="A9" s="14" t="s">
        <v>44</v>
      </c>
      <c r="B9" s="15" t="s">
        <v>45</v>
      </c>
    </row>
    <row r="11" customFormat="false" ht="15" hidden="false" customHeight="false" outlineLevel="0" collapsed="false">
      <c r="A11" s="3" t="s">
        <v>46</v>
      </c>
    </row>
  </sheetData>
  <conditionalFormatting sqref="C5:C7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dataValidations count="1">
    <dataValidation allowBlank="true" error="Informe uma data de nascimento válida." errorStyle="stop" operator="between" showDropDown="false" showErrorMessage="true" showInputMessage="false" sqref="B7" type="date">
      <formula1>DATE(1900,1,1)</formula1>
      <formula2>TODAY()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8</v>
      </c>
    </row>
    <row r="3" customFormat="false" ht="15" hidden="false" customHeight="false" outlineLevel="0" collapsed="false">
      <c r="A3" s="12" t="s">
        <v>47</v>
      </c>
    </row>
    <row r="5" customFormat="false" ht="33.75" hidden="false" customHeight="true" outlineLevel="0" collapsed="false">
      <c r="A5" s="4" t="s">
        <v>48</v>
      </c>
      <c r="B5" s="4" t="s">
        <v>39</v>
      </c>
      <c r="C5" s="4" t="s">
        <v>41</v>
      </c>
      <c r="D5" s="4" t="s">
        <v>49</v>
      </c>
      <c r="E5" s="4" t="s">
        <v>50</v>
      </c>
      <c r="F5" s="4" t="s">
        <v>51</v>
      </c>
    </row>
    <row r="6" customFormat="false" ht="15" hidden="false" customHeight="false" outlineLevel="0" collapsed="false">
      <c r="A6" s="18" t="s">
        <v>52</v>
      </c>
      <c r="B6" s="18" t="s">
        <v>53</v>
      </c>
      <c r="C6" s="19" t="n">
        <v>40983</v>
      </c>
      <c r="D6" s="18" t="s">
        <v>54</v>
      </c>
      <c r="E6" s="20" t="str">
        <f aca="false">IF(B6="","",IF(IFERROR(AND(LEN(SUBSTITUTE(SUBSTITUTE(SUBSTITUTE(SUBSTITUTE(B6,".",""),"-","")," ",""),"/",""))=11,SUBSTITUTE(SUBSTITUTE(SUBSTITUTE(SUBSTITUTE(B6,".",""),"-","")," ",""),"/","")&lt;&gt;REPT(LEFT(SUBSTITUTE(SUBSTITUTE(SUBSTITUTE(SUBSTITUTE(B6,".",""),"-","")," ",""),"/",""),1),11),VALUE(MID(SUBSTITUTE(SUBSTITUTE(SUBSTITUTE(SUBSTITUTE(B6,".",""),"-","")," ",""),"/",""),10,1))=IF(MOD(SUMPRODUCT(--MID(SUBSTITUTE(SUBSTITUTE(SUBSTITUTE(SUBSTITUTE(B6,".",""),"-","")," ",""),"/",""),{1,2,3,4,5,6,7,8,9},1),{10,9,8,7,6,5,4,3,2}),11)&lt;2,0,11-MOD(SUMPRODUCT(--MID(SUBSTITUTE(SUBSTITUTE(SUBSTITUTE(SUBSTITUTE(B6,".",""),"-","")," ",""),"/",""),{1,2,3,4,5,6,7,8,9},1),{10,9,8,7,6,5,4,3,2}),11)),VALUE(MID(SUBSTITUTE(SUBSTITUTE(SUBSTITUTE(SUBSTITUTE(B6,".",""),"-","")," ",""),"/",""),11,1))=IF(MOD(SUMPRODUCT(--MID(SUBSTITUTE(SUBSTITUTE(SUBSTITUTE(SUBSTITUTE(B6,".",""),"-","")," ",""),"/",""),{1,2,3,4,5,6,7,8,9,10},1),{11,10,9,8,7,6,5,4,3,2}),11)&lt;2,0,11-MOD(SUMPRODUCT(--MID(SUBSTITUTE(SUBSTITUTE(SUBSTITUTE(SUBSTITUTE(B6,".",""),"-","")," ",""),"/",""),{1,2,3,4,5,6,7,8,9,10},1),{11,10,9,8,7,6,5,4,3,2}),11))),FALSE()),"Sim","Não"))</f>
        <v>Sim</v>
      </c>
      <c r="F6" s="20" t="str">
        <f aca="false">IF(A6="","",IF(OR(B6="",C6="",D6="",E6="Não"),"Revisar","OK"))</f>
        <v>OK</v>
      </c>
    </row>
    <row r="7" customFormat="false" ht="15" hidden="false" customHeight="false" outlineLevel="0" collapsed="false">
      <c r="A7" s="18"/>
      <c r="B7" s="18"/>
      <c r="C7" s="19"/>
      <c r="D7" s="18"/>
      <c r="E7" s="20" t="str">
        <f aca="false">IF(B7="","",IF(IFERROR(AND(LEN(SUBSTITUTE(SUBSTITUTE(SUBSTITUTE(SUBSTITUTE(B7,".",""),"-","")," ",""),"/",""))=11,SUBSTITUTE(SUBSTITUTE(SUBSTITUTE(SUBSTITUTE(B7,".",""),"-","")," ",""),"/","")&lt;&gt;REPT(LEFT(SUBSTITUTE(SUBSTITUTE(SUBSTITUTE(SUBSTITUTE(B7,".",""),"-","")," ",""),"/",""),1),11),VALUE(MID(SUBSTITUTE(SUBSTITUTE(SUBSTITUTE(SUBSTITUTE(B7,".",""),"-","")," ",""),"/",""),10,1))=IF(MOD(SUMPRODUCT(--MID(SUBSTITUTE(SUBSTITUTE(SUBSTITUTE(SUBSTITUTE(B7,".",""),"-","")," ",""),"/",""),{1,2,3,4,5,6,7,8,9},1),{10,9,8,7,6,5,4,3,2}),11)&lt;2,0,11-MOD(SUMPRODUCT(--MID(SUBSTITUTE(SUBSTITUTE(SUBSTITUTE(SUBSTITUTE(B7,".",""),"-","")," ",""),"/",""),{1,2,3,4,5,6,7,8,9},1),{10,9,8,7,6,5,4,3,2}),11)),VALUE(MID(SUBSTITUTE(SUBSTITUTE(SUBSTITUTE(SUBSTITUTE(B7,".",""),"-","")," ",""),"/",""),11,1))=IF(MOD(SUMPRODUCT(--MID(SUBSTITUTE(SUBSTITUTE(SUBSTITUTE(SUBSTITUTE(B7,".",""),"-","")," ",""),"/",""),{1,2,3,4,5,6,7,8,9,10},1),{11,10,9,8,7,6,5,4,3,2}),11)&lt;2,0,11-MOD(SUMPRODUCT(--MID(SUBSTITUTE(SUBSTITUTE(SUBSTITUTE(SUBSTITUTE(B7,".",""),"-","")," ",""),"/",""),{1,2,3,4,5,6,7,8,9,10},1),{11,10,9,8,7,6,5,4,3,2}),11))),FALSE()),"Sim","Não"))</f>
        <v/>
      </c>
      <c r="F7" s="20" t="str">
        <f aca="false">IF(A7="","",IF(OR(B7="",C7="",D7="",E7="Não"),"Revisar","OK"))</f>
        <v/>
      </c>
    </row>
    <row r="8" customFormat="false" ht="15" hidden="false" customHeight="false" outlineLevel="0" collapsed="false">
      <c r="A8" s="18"/>
      <c r="B8" s="18"/>
      <c r="C8" s="19"/>
      <c r="D8" s="18"/>
      <c r="E8" s="20" t="str">
        <f aca="false">IF(B8="","",IF(IFERROR(AND(LEN(SUBSTITUTE(SUBSTITUTE(SUBSTITUTE(SUBSTITUTE(B8,".",""),"-","")," ",""),"/",""))=11,SUBSTITUTE(SUBSTITUTE(SUBSTITUTE(SUBSTITUTE(B8,".",""),"-","")," ",""),"/","")&lt;&gt;REPT(LEFT(SUBSTITUTE(SUBSTITUTE(SUBSTITUTE(SUBSTITUTE(B8,".",""),"-","")," ",""),"/",""),1),11),VALUE(MID(SUBSTITUTE(SUBSTITUTE(SUBSTITUTE(SUBSTITUTE(B8,".",""),"-","")," ",""),"/",""),10,1))=IF(MOD(SUMPRODUCT(--MID(SUBSTITUTE(SUBSTITUTE(SUBSTITUTE(SUBSTITUTE(B8,".",""),"-","")," ",""),"/",""),{1,2,3,4,5,6,7,8,9},1),{10,9,8,7,6,5,4,3,2}),11)&lt;2,0,11-MOD(SUMPRODUCT(--MID(SUBSTITUTE(SUBSTITUTE(SUBSTITUTE(SUBSTITUTE(B8,".",""),"-","")," ",""),"/",""),{1,2,3,4,5,6,7,8,9},1),{10,9,8,7,6,5,4,3,2}),11)),VALUE(MID(SUBSTITUTE(SUBSTITUTE(SUBSTITUTE(SUBSTITUTE(B8,".",""),"-","")," ",""),"/",""),11,1))=IF(MOD(SUMPRODUCT(--MID(SUBSTITUTE(SUBSTITUTE(SUBSTITUTE(SUBSTITUTE(B8,".",""),"-","")," ",""),"/",""),{1,2,3,4,5,6,7,8,9,10},1),{11,10,9,8,7,6,5,4,3,2}),11)&lt;2,0,11-MOD(SUMPRODUCT(--MID(SUBSTITUTE(SUBSTITUTE(SUBSTITUTE(SUBSTITUTE(B8,".",""),"-","")," ",""),"/",""),{1,2,3,4,5,6,7,8,9,10},1),{11,10,9,8,7,6,5,4,3,2}),11))),FALSE()),"Sim","Não"))</f>
        <v/>
      </c>
      <c r="F8" s="20" t="str">
        <f aca="false">IF(A8="","",IF(OR(B8="",C8="",D8="",E8="Não"),"Revisar","OK"))</f>
        <v/>
      </c>
    </row>
    <row r="9" customFormat="false" ht="15" hidden="false" customHeight="false" outlineLevel="0" collapsed="false">
      <c r="A9" s="18"/>
      <c r="B9" s="18"/>
      <c r="C9" s="19"/>
      <c r="D9" s="18"/>
      <c r="E9" s="20" t="str">
        <f aca="false">IF(B9="","",IF(IFERROR(AND(LEN(SUBSTITUTE(SUBSTITUTE(SUBSTITUTE(SUBSTITUTE(B9,".",""),"-","")," ",""),"/",""))=11,SUBSTITUTE(SUBSTITUTE(SUBSTITUTE(SUBSTITUTE(B9,".",""),"-","")," ",""),"/","")&lt;&gt;REPT(LEFT(SUBSTITUTE(SUBSTITUTE(SUBSTITUTE(SUBSTITUTE(B9,".",""),"-","")," ",""),"/",""),1),11),VALUE(MID(SUBSTITUTE(SUBSTITUTE(SUBSTITUTE(SUBSTITUTE(B9,".",""),"-","")," ",""),"/",""),10,1))=IF(MOD(SUMPRODUCT(--MID(SUBSTITUTE(SUBSTITUTE(SUBSTITUTE(SUBSTITUTE(B9,".",""),"-","")," ",""),"/",""),{1,2,3,4,5,6,7,8,9},1),{10,9,8,7,6,5,4,3,2}),11)&lt;2,0,11-MOD(SUMPRODUCT(--MID(SUBSTITUTE(SUBSTITUTE(SUBSTITUTE(SUBSTITUTE(B9,".",""),"-","")," ",""),"/",""),{1,2,3,4,5,6,7,8,9},1),{10,9,8,7,6,5,4,3,2}),11)),VALUE(MID(SUBSTITUTE(SUBSTITUTE(SUBSTITUTE(SUBSTITUTE(B9,".",""),"-","")," ",""),"/",""),11,1))=IF(MOD(SUMPRODUCT(--MID(SUBSTITUTE(SUBSTITUTE(SUBSTITUTE(SUBSTITUTE(B9,".",""),"-","")," ",""),"/",""),{1,2,3,4,5,6,7,8,9,10},1),{11,10,9,8,7,6,5,4,3,2}),11)&lt;2,0,11-MOD(SUMPRODUCT(--MID(SUBSTITUTE(SUBSTITUTE(SUBSTITUTE(SUBSTITUTE(B9,".",""),"-","")," ",""),"/",""),{1,2,3,4,5,6,7,8,9,10},1),{11,10,9,8,7,6,5,4,3,2}),11))),FALSE()),"Sim","Não"))</f>
        <v/>
      </c>
      <c r="F9" s="20" t="str">
        <f aca="false">IF(A9="","",IF(OR(B9="",C9="",D9="",E9="Não"),"Revisar","OK"))</f>
        <v/>
      </c>
    </row>
    <row r="10" customFormat="false" ht="15" hidden="false" customHeight="false" outlineLevel="0" collapsed="false">
      <c r="A10" s="18"/>
      <c r="B10" s="18"/>
      <c r="C10" s="19"/>
      <c r="D10" s="18"/>
      <c r="E10" s="20" t="str">
        <f aca="false">IF(B10="","",IF(IFERROR(AND(LEN(SUBSTITUTE(SUBSTITUTE(SUBSTITUTE(SUBSTITUTE(B10,".",""),"-","")," ",""),"/",""))=11,SUBSTITUTE(SUBSTITUTE(SUBSTITUTE(SUBSTITUTE(B10,".",""),"-","")," ",""),"/","")&lt;&gt;REPT(LEFT(SUBSTITUTE(SUBSTITUTE(SUBSTITUTE(SUBSTITUTE(B10,".",""),"-","")," ",""),"/",""),1),11),VALUE(MID(SUBSTITUTE(SUBSTITUTE(SUBSTITUTE(SUBSTITUTE(B10,".",""),"-","")," ",""),"/",""),10,1))=IF(MOD(SUMPRODUCT(--MID(SUBSTITUTE(SUBSTITUTE(SUBSTITUTE(SUBSTITUTE(B10,".",""),"-","")," ",""),"/",""),{1,2,3,4,5,6,7,8,9},1),{10,9,8,7,6,5,4,3,2}),11)&lt;2,0,11-MOD(SUMPRODUCT(--MID(SUBSTITUTE(SUBSTITUTE(SUBSTITUTE(SUBSTITUTE(B10,".",""),"-","")," ",""),"/",""),{1,2,3,4,5,6,7,8,9},1),{10,9,8,7,6,5,4,3,2}),11)),VALUE(MID(SUBSTITUTE(SUBSTITUTE(SUBSTITUTE(SUBSTITUTE(B10,".",""),"-","")," ",""),"/",""),11,1))=IF(MOD(SUMPRODUCT(--MID(SUBSTITUTE(SUBSTITUTE(SUBSTITUTE(SUBSTITUTE(B10,".",""),"-","")," ",""),"/",""),{1,2,3,4,5,6,7,8,9,10},1),{11,10,9,8,7,6,5,4,3,2}),11)&lt;2,0,11-MOD(SUMPRODUCT(--MID(SUBSTITUTE(SUBSTITUTE(SUBSTITUTE(SUBSTITUTE(B10,".",""),"-","")," ",""),"/",""),{1,2,3,4,5,6,7,8,9,10},1),{11,10,9,8,7,6,5,4,3,2}),11))),FALSE()),"Sim","Não"))</f>
        <v/>
      </c>
      <c r="F10" s="20" t="str">
        <f aca="false">IF(A10="","",IF(OR(B10="",C10="",D10="",E10="Não"),"Revisar","OK"))</f>
        <v/>
      </c>
    </row>
    <row r="11" customFormat="false" ht="15" hidden="false" customHeight="false" outlineLevel="0" collapsed="false">
      <c r="A11" s="18"/>
      <c r="B11" s="18"/>
      <c r="C11" s="19"/>
      <c r="D11" s="18"/>
      <c r="E11" s="20" t="str">
        <f aca="false">IF(B11="","",IF(IFERROR(AND(LEN(SUBSTITUTE(SUBSTITUTE(SUBSTITUTE(SUBSTITUTE(B11,".",""),"-","")," ",""),"/",""))=11,SUBSTITUTE(SUBSTITUTE(SUBSTITUTE(SUBSTITUTE(B11,".",""),"-","")," ",""),"/","")&lt;&gt;REPT(LEFT(SUBSTITUTE(SUBSTITUTE(SUBSTITUTE(SUBSTITUTE(B11,".",""),"-","")," ",""),"/",""),1),11),VALUE(MID(SUBSTITUTE(SUBSTITUTE(SUBSTITUTE(SUBSTITUTE(B11,".",""),"-","")," ",""),"/",""),10,1))=IF(MOD(SUMPRODUCT(--MID(SUBSTITUTE(SUBSTITUTE(SUBSTITUTE(SUBSTITUTE(B11,".",""),"-","")," ",""),"/",""),{1,2,3,4,5,6,7,8,9},1),{10,9,8,7,6,5,4,3,2}),11)&lt;2,0,11-MOD(SUMPRODUCT(--MID(SUBSTITUTE(SUBSTITUTE(SUBSTITUTE(SUBSTITUTE(B11,".",""),"-","")," ",""),"/",""),{1,2,3,4,5,6,7,8,9},1),{10,9,8,7,6,5,4,3,2}),11)),VALUE(MID(SUBSTITUTE(SUBSTITUTE(SUBSTITUTE(SUBSTITUTE(B11,".",""),"-","")," ",""),"/",""),11,1))=IF(MOD(SUMPRODUCT(--MID(SUBSTITUTE(SUBSTITUTE(SUBSTITUTE(SUBSTITUTE(B11,".",""),"-","")," ",""),"/",""),{1,2,3,4,5,6,7,8,9,10},1),{11,10,9,8,7,6,5,4,3,2}),11)&lt;2,0,11-MOD(SUMPRODUCT(--MID(SUBSTITUTE(SUBSTITUTE(SUBSTITUTE(SUBSTITUTE(B11,".",""),"-","")," ",""),"/",""),{1,2,3,4,5,6,7,8,9,10},1),{11,10,9,8,7,6,5,4,3,2}),11))),FALSE()),"Sim","Não"))</f>
        <v/>
      </c>
      <c r="F11" s="20" t="str">
        <f aca="false">IF(A11="","",IF(OR(B11="",C11="",D11="",E11="Não"),"Revisar","OK"))</f>
        <v/>
      </c>
    </row>
    <row r="12" customFormat="false" ht="15" hidden="false" customHeight="false" outlineLevel="0" collapsed="false">
      <c r="A12" s="18"/>
      <c r="B12" s="18"/>
      <c r="C12" s="19"/>
      <c r="D12" s="18"/>
      <c r="E12" s="20" t="str">
        <f aca="false">IF(B12="","",IF(IFERROR(AND(LEN(SUBSTITUTE(SUBSTITUTE(SUBSTITUTE(SUBSTITUTE(B12,".",""),"-","")," ",""),"/",""))=11,SUBSTITUTE(SUBSTITUTE(SUBSTITUTE(SUBSTITUTE(B12,".",""),"-","")," ",""),"/","")&lt;&gt;REPT(LEFT(SUBSTITUTE(SUBSTITUTE(SUBSTITUTE(SUBSTITUTE(B12,".",""),"-","")," ",""),"/",""),1),11),VALUE(MID(SUBSTITUTE(SUBSTITUTE(SUBSTITUTE(SUBSTITUTE(B12,".",""),"-","")," ",""),"/",""),10,1))=IF(MOD(SUMPRODUCT(--MID(SUBSTITUTE(SUBSTITUTE(SUBSTITUTE(SUBSTITUTE(B12,".",""),"-","")," ",""),"/",""),{1,2,3,4,5,6,7,8,9},1),{10,9,8,7,6,5,4,3,2}),11)&lt;2,0,11-MOD(SUMPRODUCT(--MID(SUBSTITUTE(SUBSTITUTE(SUBSTITUTE(SUBSTITUTE(B12,".",""),"-","")," ",""),"/",""),{1,2,3,4,5,6,7,8,9},1),{10,9,8,7,6,5,4,3,2}),11)),VALUE(MID(SUBSTITUTE(SUBSTITUTE(SUBSTITUTE(SUBSTITUTE(B12,".",""),"-","")," ",""),"/",""),11,1))=IF(MOD(SUMPRODUCT(--MID(SUBSTITUTE(SUBSTITUTE(SUBSTITUTE(SUBSTITUTE(B12,".",""),"-","")," ",""),"/",""),{1,2,3,4,5,6,7,8,9,10},1),{11,10,9,8,7,6,5,4,3,2}),11)&lt;2,0,11-MOD(SUMPRODUCT(--MID(SUBSTITUTE(SUBSTITUTE(SUBSTITUTE(SUBSTITUTE(B12,".",""),"-","")," ",""),"/",""),{1,2,3,4,5,6,7,8,9,10},1),{11,10,9,8,7,6,5,4,3,2}),11))),FALSE()),"Sim","Não"))</f>
        <v/>
      </c>
      <c r="F12" s="20" t="str">
        <f aca="false">IF(A12="","",IF(OR(B12="",C12="",D12="",E12="Não"),"Revisar","OK"))</f>
        <v/>
      </c>
    </row>
    <row r="13" customFormat="false" ht="15" hidden="false" customHeight="false" outlineLevel="0" collapsed="false">
      <c r="A13" s="18"/>
      <c r="B13" s="18"/>
      <c r="C13" s="19"/>
      <c r="D13" s="18"/>
      <c r="E13" s="20" t="str">
        <f aca="false">IF(B13="","",IF(IFERROR(AND(LEN(SUBSTITUTE(SUBSTITUTE(SUBSTITUTE(SUBSTITUTE(B13,".",""),"-","")," ",""),"/",""))=11,SUBSTITUTE(SUBSTITUTE(SUBSTITUTE(SUBSTITUTE(B13,".",""),"-","")," ",""),"/","")&lt;&gt;REPT(LEFT(SUBSTITUTE(SUBSTITUTE(SUBSTITUTE(SUBSTITUTE(B13,".",""),"-","")," ",""),"/",""),1),11),VALUE(MID(SUBSTITUTE(SUBSTITUTE(SUBSTITUTE(SUBSTITUTE(B13,".",""),"-","")," ",""),"/",""),10,1))=IF(MOD(SUMPRODUCT(--MID(SUBSTITUTE(SUBSTITUTE(SUBSTITUTE(SUBSTITUTE(B13,".",""),"-","")," ",""),"/",""),{1,2,3,4,5,6,7,8,9},1),{10,9,8,7,6,5,4,3,2}),11)&lt;2,0,11-MOD(SUMPRODUCT(--MID(SUBSTITUTE(SUBSTITUTE(SUBSTITUTE(SUBSTITUTE(B13,".",""),"-","")," ",""),"/",""),{1,2,3,4,5,6,7,8,9},1),{10,9,8,7,6,5,4,3,2}),11)),VALUE(MID(SUBSTITUTE(SUBSTITUTE(SUBSTITUTE(SUBSTITUTE(B13,".",""),"-","")," ",""),"/",""),11,1))=IF(MOD(SUMPRODUCT(--MID(SUBSTITUTE(SUBSTITUTE(SUBSTITUTE(SUBSTITUTE(B13,".",""),"-","")," ",""),"/",""),{1,2,3,4,5,6,7,8,9,10},1),{11,10,9,8,7,6,5,4,3,2}),11)&lt;2,0,11-MOD(SUMPRODUCT(--MID(SUBSTITUTE(SUBSTITUTE(SUBSTITUTE(SUBSTITUTE(B13,".",""),"-","")," ",""),"/",""),{1,2,3,4,5,6,7,8,9,10},1),{11,10,9,8,7,6,5,4,3,2}),11))),FALSE()),"Sim","Não"))</f>
        <v/>
      </c>
      <c r="F13" s="20" t="str">
        <f aca="false">IF(A13="","",IF(OR(B13="",C13="",D13="",E13="Não"),"Revisar","OK"))</f>
        <v/>
      </c>
    </row>
    <row r="14" customFormat="false" ht="15" hidden="false" customHeight="false" outlineLevel="0" collapsed="false">
      <c r="A14" s="18"/>
      <c r="B14" s="18"/>
      <c r="C14" s="19"/>
      <c r="D14" s="18"/>
      <c r="E14" s="20" t="str">
        <f aca="false">IF(B14="","",IF(IFERROR(AND(LEN(SUBSTITUTE(SUBSTITUTE(SUBSTITUTE(SUBSTITUTE(B14,".",""),"-","")," ",""),"/",""))=11,SUBSTITUTE(SUBSTITUTE(SUBSTITUTE(SUBSTITUTE(B14,".",""),"-","")," ",""),"/","")&lt;&gt;REPT(LEFT(SUBSTITUTE(SUBSTITUTE(SUBSTITUTE(SUBSTITUTE(B14,".",""),"-","")," ",""),"/",""),1),11),VALUE(MID(SUBSTITUTE(SUBSTITUTE(SUBSTITUTE(SUBSTITUTE(B14,".",""),"-","")," ",""),"/",""),10,1))=IF(MOD(SUMPRODUCT(--MID(SUBSTITUTE(SUBSTITUTE(SUBSTITUTE(SUBSTITUTE(B14,".",""),"-","")," ",""),"/",""),{1,2,3,4,5,6,7,8,9},1),{10,9,8,7,6,5,4,3,2}),11)&lt;2,0,11-MOD(SUMPRODUCT(--MID(SUBSTITUTE(SUBSTITUTE(SUBSTITUTE(SUBSTITUTE(B14,".",""),"-","")," ",""),"/",""),{1,2,3,4,5,6,7,8,9},1),{10,9,8,7,6,5,4,3,2}),11)),VALUE(MID(SUBSTITUTE(SUBSTITUTE(SUBSTITUTE(SUBSTITUTE(B14,".",""),"-","")," ",""),"/",""),11,1))=IF(MOD(SUMPRODUCT(--MID(SUBSTITUTE(SUBSTITUTE(SUBSTITUTE(SUBSTITUTE(B14,".",""),"-","")," ",""),"/",""),{1,2,3,4,5,6,7,8,9,10},1),{11,10,9,8,7,6,5,4,3,2}),11)&lt;2,0,11-MOD(SUMPRODUCT(--MID(SUBSTITUTE(SUBSTITUTE(SUBSTITUTE(SUBSTITUTE(B14,".",""),"-","")," ",""),"/",""),{1,2,3,4,5,6,7,8,9,10},1),{11,10,9,8,7,6,5,4,3,2}),11))),FALSE()),"Sim","Não"))</f>
        <v/>
      </c>
      <c r="F14" s="20" t="str">
        <f aca="false">IF(A14="","",IF(OR(B14="",C14="",D14="",E14="Não"),"Revisar","OK"))</f>
        <v/>
      </c>
    </row>
    <row r="15" customFormat="false" ht="15" hidden="false" customHeight="false" outlineLevel="0" collapsed="false">
      <c r="A15" s="18"/>
      <c r="B15" s="18"/>
      <c r="C15" s="19"/>
      <c r="D15" s="18"/>
      <c r="E15" s="20" t="str">
        <f aca="false">IF(B15="","",IF(IFERROR(AND(LEN(SUBSTITUTE(SUBSTITUTE(SUBSTITUTE(SUBSTITUTE(B15,".",""),"-","")," ",""),"/",""))=11,SUBSTITUTE(SUBSTITUTE(SUBSTITUTE(SUBSTITUTE(B15,".",""),"-","")," ",""),"/","")&lt;&gt;REPT(LEFT(SUBSTITUTE(SUBSTITUTE(SUBSTITUTE(SUBSTITUTE(B15,".",""),"-","")," ",""),"/",""),1),11),VALUE(MID(SUBSTITUTE(SUBSTITUTE(SUBSTITUTE(SUBSTITUTE(B15,".",""),"-","")," ",""),"/",""),10,1))=IF(MOD(SUMPRODUCT(--MID(SUBSTITUTE(SUBSTITUTE(SUBSTITUTE(SUBSTITUTE(B15,".",""),"-","")," ",""),"/",""),{1,2,3,4,5,6,7,8,9},1),{10,9,8,7,6,5,4,3,2}),11)&lt;2,0,11-MOD(SUMPRODUCT(--MID(SUBSTITUTE(SUBSTITUTE(SUBSTITUTE(SUBSTITUTE(B15,".",""),"-","")," ",""),"/",""),{1,2,3,4,5,6,7,8,9},1),{10,9,8,7,6,5,4,3,2}),11)),VALUE(MID(SUBSTITUTE(SUBSTITUTE(SUBSTITUTE(SUBSTITUTE(B15,".",""),"-","")," ",""),"/",""),11,1))=IF(MOD(SUMPRODUCT(--MID(SUBSTITUTE(SUBSTITUTE(SUBSTITUTE(SUBSTITUTE(B15,".",""),"-","")," ",""),"/",""),{1,2,3,4,5,6,7,8,9,10},1),{11,10,9,8,7,6,5,4,3,2}),11)&lt;2,0,11-MOD(SUMPRODUCT(--MID(SUBSTITUTE(SUBSTITUTE(SUBSTITUTE(SUBSTITUTE(B15,".",""),"-","")," ",""),"/",""),{1,2,3,4,5,6,7,8,9,10},1),{11,10,9,8,7,6,5,4,3,2}),11))),FALSE()),"Sim","Não"))</f>
        <v/>
      </c>
      <c r="F15" s="20" t="str">
        <f aca="false">IF(A15="","",IF(OR(B15="",C15="",D15="",E15="Não"),"Revisar","OK"))</f>
        <v/>
      </c>
    </row>
  </sheetData>
  <conditionalFormatting sqref="E6:F1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dataValidations count="1">
    <dataValidation allowBlank="true" error="Escolha um item da lista." errorStyle="stop" errorTitle="Valor inválido" operator="between" showDropDown="false" showErrorMessage="true" showInputMessage="false" sqref="D6:D15" type="list">
      <formula1>Listas!$F$5:$F$9</formula1>
      <formula2>0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4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10</v>
      </c>
    </row>
    <row r="3" customFormat="false" ht="15" hidden="false" customHeight="false" outlineLevel="0" collapsed="false">
      <c r="A3" s="12" t="s">
        <v>55</v>
      </c>
    </row>
    <row r="5" customFormat="false" ht="33.75" hidden="false" customHeight="true" outlineLevel="0" collapsed="false">
      <c r="A5" s="4" t="s">
        <v>56</v>
      </c>
      <c r="B5" s="4" t="s">
        <v>57</v>
      </c>
      <c r="C5" s="4" t="s">
        <v>58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63</v>
      </c>
      <c r="I5" s="4" t="s">
        <v>64</v>
      </c>
      <c r="J5" s="4" t="s">
        <v>65</v>
      </c>
      <c r="K5" s="4" t="s">
        <v>51</v>
      </c>
    </row>
    <row r="6" customFormat="false" ht="15" hidden="false" customHeight="false" outlineLevel="0" collapsed="false">
      <c r="A6" s="19" t="n">
        <v>46387</v>
      </c>
      <c r="B6" s="18" t="s">
        <v>66</v>
      </c>
      <c r="C6" s="18" t="s">
        <v>67</v>
      </c>
      <c r="D6" s="18" t="s">
        <v>68</v>
      </c>
      <c r="E6" s="21" t="str">
        <f aca="false">IF(D6="","",IFERROR(VLOOKUP(D6,Listas!$A$5:$B$16,2,FALSE()),""))</f>
        <v>Tributável</v>
      </c>
      <c r="F6" s="22" t="n">
        <v>78000</v>
      </c>
      <c r="G6" s="22" t="n">
        <v>4800</v>
      </c>
      <c r="H6" s="22" t="n">
        <v>8556</v>
      </c>
      <c r="I6" s="23" t="s">
        <v>69</v>
      </c>
      <c r="J6" s="18"/>
      <c r="K6" s="20" t="str">
        <f aca="false">IF(AND(A6="",B6="",D6="",F6=""),"",IF(OR(A6="",B6="",D6="",F6="",NOT(IFERROR(OR(IFERROR(AND(LEN(SUBSTITUTE(SUBSTITUTE(SUBSTITUTE(SUBSTITUTE(C6,".",""),"-","")," ",""),"/",""))=11,SUBSTITUTE(SUBSTITUTE(SUBSTITUTE(SUBSTITUTE(C6,".",""),"-","")," ",""),"/","")&lt;&gt;REPT(LEFT(SUBSTITUTE(SUBSTITUTE(SUBSTITUTE(SUBSTITUTE(C6,".",""),"-","")," ",""),"/",""),1),11),VALUE(MID(SUBSTITUTE(SUBSTITUTE(SUBSTITUTE(SUBSTITUTE(C6,".",""),"-","")," ",""),"/",""),10,1))=IF(MOD(SUMPRODUCT(--MID(SUBSTITUTE(SUBSTITUTE(SUBSTITUTE(SUBSTITUTE(C6,".",""),"-","")," ",""),"/",""),{1,2,3,4,5,6,7,8,9},1),{10,9,8,7,6,5,4,3,2}),11)&lt;2,0,11-MOD(SUMPRODUCT(--MID(SUBSTITUTE(SUBSTITUTE(SUBSTITUTE(SUBSTITUTE(C6,".",""),"-","")," ",""),"/",""),{1,2,3,4,5,6,7,8,9},1),{10,9,8,7,6,5,4,3,2}),11)),VALUE(MID(SUBSTITUTE(SUBSTITUTE(SUBSTITUTE(SUBSTITUTE(C6,".",""),"-","")," ",""),"/",""),11,1))=IF(MOD(SUMPRODUCT(--MID(SUBSTITUTE(SUBSTITUTE(SUBSTITUTE(SUBSTITUTE(C6,".",""),"-","")," ",""),"/",""),{1,2,3,4,5,6,7,8,9,10},1),{11,10,9,8,7,6,5,4,3,2}),11)&lt;2,0,11-MOD(SUMPRODUCT(--MID(SUBSTITUTE(SUBSTITUTE(SUBSTITUTE(SUBSTITUTE(C6,".",""),"-","")," ",""),"/",""),{1,2,3,4,5,6,7,8,9,10},1),{11,10,9,8,7,6,5,4,3,2}),11))),FALSE()),AND(LEN(SUBSTITUTE(SUBSTITUTE(SUBSTITUTE(SUBSTITUTE(C6,".",""),"-","")," ",""),"/",""))=14,ISNUMBER(VALUE(SUBSTITUTE(SUBSTITUTE(SUBSTITUTE(SUBSTITUTE(C6,".",""),"-","")," ",""),"/",""))))),FALSE())),G6&gt;F6),"Revisar",IF(I6&lt;&gt;"Sim","Falta informe","OK")))</f>
        <v>OK</v>
      </c>
    </row>
    <row r="7" customFormat="false" ht="15" hidden="false" customHeight="false" outlineLevel="0" collapsed="false">
      <c r="A7" s="19" t="n">
        <v>46387</v>
      </c>
      <c r="B7" s="18" t="s">
        <v>66</v>
      </c>
      <c r="C7" s="18" t="s">
        <v>67</v>
      </c>
      <c r="D7" s="18" t="s">
        <v>70</v>
      </c>
      <c r="E7" s="21" t="str">
        <f aca="false">IF(D7="","",IFERROR(VLOOKUP(D7,Listas!$A$5:$B$16,2,FALSE()),""))</f>
        <v>Exclusivo na fonte</v>
      </c>
      <c r="F7" s="22" t="n">
        <v>6500</v>
      </c>
      <c r="G7" s="22" t="n">
        <v>350</v>
      </c>
      <c r="H7" s="22" t="n">
        <v>0</v>
      </c>
      <c r="I7" s="23" t="s">
        <v>69</v>
      </c>
      <c r="J7" s="18"/>
      <c r="K7" s="20" t="str">
        <f aca="false">IF(AND(A7="",B7="",D7="",F7=""),"",IF(OR(A7="",B7="",D7="",F7="",NOT(IFERROR(OR(IFERROR(AND(LEN(SUBSTITUTE(SUBSTITUTE(SUBSTITUTE(SUBSTITUTE(C7,".",""),"-","")," ",""),"/",""))=11,SUBSTITUTE(SUBSTITUTE(SUBSTITUTE(SUBSTITUTE(C7,".",""),"-","")," ",""),"/","")&lt;&gt;REPT(LEFT(SUBSTITUTE(SUBSTITUTE(SUBSTITUTE(SUBSTITUTE(C7,".",""),"-","")," ",""),"/",""),1),11),VALUE(MID(SUBSTITUTE(SUBSTITUTE(SUBSTITUTE(SUBSTITUTE(C7,".",""),"-","")," ",""),"/",""),10,1))=IF(MOD(SUMPRODUCT(--MID(SUBSTITUTE(SUBSTITUTE(SUBSTITUTE(SUBSTITUTE(C7,".",""),"-","")," ",""),"/",""),{1,2,3,4,5,6,7,8,9},1),{10,9,8,7,6,5,4,3,2}),11)&lt;2,0,11-MOD(SUMPRODUCT(--MID(SUBSTITUTE(SUBSTITUTE(SUBSTITUTE(SUBSTITUTE(C7,".",""),"-","")," ",""),"/",""),{1,2,3,4,5,6,7,8,9},1),{10,9,8,7,6,5,4,3,2}),11)),VALUE(MID(SUBSTITUTE(SUBSTITUTE(SUBSTITUTE(SUBSTITUTE(C7,".",""),"-","")," ",""),"/",""),11,1))=IF(MOD(SUMPRODUCT(--MID(SUBSTITUTE(SUBSTITUTE(SUBSTITUTE(SUBSTITUTE(C7,".",""),"-","")," ",""),"/",""),{1,2,3,4,5,6,7,8,9,10},1),{11,10,9,8,7,6,5,4,3,2}),11)&lt;2,0,11-MOD(SUMPRODUCT(--MID(SUBSTITUTE(SUBSTITUTE(SUBSTITUTE(SUBSTITUTE(C7,".",""),"-","")," ",""),"/",""),{1,2,3,4,5,6,7,8,9,10},1),{11,10,9,8,7,6,5,4,3,2}),11))),FALSE()),AND(LEN(SUBSTITUTE(SUBSTITUTE(SUBSTITUTE(SUBSTITUTE(C7,".",""),"-","")," ",""),"/",""))=14,ISNUMBER(VALUE(SUBSTITUTE(SUBSTITUTE(SUBSTITUTE(SUBSTITUTE(C7,".",""),"-","")," ",""),"/",""))))),FALSE())),G7&gt;F7),"Revisar",IF(I7&lt;&gt;"Sim","Falta informe","OK")))</f>
        <v>OK</v>
      </c>
    </row>
    <row r="8" customFormat="false" ht="15" hidden="false" customHeight="false" outlineLevel="0" collapsed="false">
      <c r="A8" s="19" t="n">
        <v>46387</v>
      </c>
      <c r="B8" s="18" t="s">
        <v>71</v>
      </c>
      <c r="C8" s="18" t="s">
        <v>72</v>
      </c>
      <c r="D8" s="18" t="s">
        <v>73</v>
      </c>
      <c r="E8" s="21" t="str">
        <f aca="false">IF(D8="","",IFERROR(VLOOKUP(D8,Listas!$A$5:$B$16,2,FALSE()),""))</f>
        <v>Exclusivo na fonte</v>
      </c>
      <c r="F8" s="22" t="n">
        <v>1200</v>
      </c>
      <c r="G8" s="22" t="n">
        <v>180</v>
      </c>
      <c r="H8" s="22" t="n">
        <v>0</v>
      </c>
      <c r="I8" s="23" t="s">
        <v>69</v>
      </c>
      <c r="J8" s="18"/>
      <c r="K8" s="20" t="str">
        <f aca="false">IF(AND(A8="",B8="",D8="",F8=""),"",IF(OR(A8="",B8="",D8="",F8="",NOT(IFERROR(OR(IFERROR(AND(LEN(SUBSTITUTE(SUBSTITUTE(SUBSTITUTE(SUBSTITUTE(C8,".",""),"-","")," ",""),"/",""))=11,SUBSTITUTE(SUBSTITUTE(SUBSTITUTE(SUBSTITUTE(C8,".",""),"-","")," ",""),"/","")&lt;&gt;REPT(LEFT(SUBSTITUTE(SUBSTITUTE(SUBSTITUTE(SUBSTITUTE(C8,".",""),"-","")," ",""),"/",""),1),11),VALUE(MID(SUBSTITUTE(SUBSTITUTE(SUBSTITUTE(SUBSTITUTE(C8,".",""),"-","")," ",""),"/",""),10,1))=IF(MOD(SUMPRODUCT(--MID(SUBSTITUTE(SUBSTITUTE(SUBSTITUTE(SUBSTITUTE(C8,".",""),"-","")," ",""),"/",""),{1,2,3,4,5,6,7,8,9},1),{10,9,8,7,6,5,4,3,2}),11)&lt;2,0,11-MOD(SUMPRODUCT(--MID(SUBSTITUTE(SUBSTITUTE(SUBSTITUTE(SUBSTITUTE(C8,".",""),"-","")," ",""),"/",""),{1,2,3,4,5,6,7,8,9},1),{10,9,8,7,6,5,4,3,2}),11)),VALUE(MID(SUBSTITUTE(SUBSTITUTE(SUBSTITUTE(SUBSTITUTE(C8,".",""),"-","")," ",""),"/",""),11,1))=IF(MOD(SUMPRODUCT(--MID(SUBSTITUTE(SUBSTITUTE(SUBSTITUTE(SUBSTITUTE(C8,".",""),"-","")," ",""),"/",""),{1,2,3,4,5,6,7,8,9,10},1),{11,10,9,8,7,6,5,4,3,2}),11)&lt;2,0,11-MOD(SUMPRODUCT(--MID(SUBSTITUTE(SUBSTITUTE(SUBSTITUTE(SUBSTITUTE(C8,".",""),"-","")," ",""),"/",""),{1,2,3,4,5,6,7,8,9,10},1),{11,10,9,8,7,6,5,4,3,2}),11))),FALSE()),AND(LEN(SUBSTITUTE(SUBSTITUTE(SUBSTITUTE(SUBSTITUTE(C8,".",""),"-","")," ",""),"/",""))=14,ISNUMBER(VALUE(SUBSTITUTE(SUBSTITUTE(SUBSTITUTE(SUBSTITUTE(C8,".",""),"-","")," ",""),"/",""))))),FALSE())),G8&gt;F8),"Revisar",IF(I8&lt;&gt;"Sim","Falta informe","OK")))</f>
        <v>OK</v>
      </c>
    </row>
    <row r="9" customFormat="false" ht="15" hidden="false" customHeight="false" outlineLevel="0" collapsed="false">
      <c r="A9" s="19" t="n">
        <v>46387</v>
      </c>
      <c r="B9" s="18" t="s">
        <v>66</v>
      </c>
      <c r="C9" s="18" t="s">
        <v>67</v>
      </c>
      <c r="D9" s="18" t="s">
        <v>74</v>
      </c>
      <c r="E9" s="21" t="str">
        <f aca="false">IF(D9="","",IFERROR(VLOOKUP(D9,Listas!$A$5:$B$16,2,FALSE()),""))</f>
        <v>Isento ou não tributável</v>
      </c>
      <c r="F9" s="22" t="n">
        <v>12000</v>
      </c>
      <c r="G9" s="22" t="n">
        <v>0</v>
      </c>
      <c r="H9" s="22" t="n">
        <v>0</v>
      </c>
      <c r="I9" s="23" t="s">
        <v>75</v>
      </c>
      <c r="J9" s="18"/>
      <c r="K9" s="20" t="str">
        <f aca="false">IF(AND(A9="",B9="",D9="",F9=""),"",IF(OR(A9="",B9="",D9="",F9="",NOT(IFERROR(OR(IFERROR(AND(LEN(SUBSTITUTE(SUBSTITUTE(SUBSTITUTE(SUBSTITUTE(C9,".",""),"-","")," ",""),"/",""))=11,SUBSTITUTE(SUBSTITUTE(SUBSTITUTE(SUBSTITUTE(C9,".",""),"-","")," ",""),"/","")&lt;&gt;REPT(LEFT(SUBSTITUTE(SUBSTITUTE(SUBSTITUTE(SUBSTITUTE(C9,".",""),"-","")," ",""),"/",""),1),11),VALUE(MID(SUBSTITUTE(SUBSTITUTE(SUBSTITUTE(SUBSTITUTE(C9,".",""),"-","")," ",""),"/",""),10,1))=IF(MOD(SUMPRODUCT(--MID(SUBSTITUTE(SUBSTITUTE(SUBSTITUTE(SUBSTITUTE(C9,".",""),"-","")," ",""),"/",""),{1,2,3,4,5,6,7,8,9},1),{10,9,8,7,6,5,4,3,2}),11)&lt;2,0,11-MOD(SUMPRODUCT(--MID(SUBSTITUTE(SUBSTITUTE(SUBSTITUTE(SUBSTITUTE(C9,".",""),"-","")," ",""),"/",""),{1,2,3,4,5,6,7,8,9},1),{10,9,8,7,6,5,4,3,2}),11)),VALUE(MID(SUBSTITUTE(SUBSTITUTE(SUBSTITUTE(SUBSTITUTE(C9,".",""),"-","")," ",""),"/",""),11,1))=IF(MOD(SUMPRODUCT(--MID(SUBSTITUTE(SUBSTITUTE(SUBSTITUTE(SUBSTITUTE(C9,".",""),"-","")," ",""),"/",""),{1,2,3,4,5,6,7,8,9,10},1),{11,10,9,8,7,6,5,4,3,2}),11)&lt;2,0,11-MOD(SUMPRODUCT(--MID(SUBSTITUTE(SUBSTITUTE(SUBSTITUTE(SUBSTITUTE(C9,".",""),"-","")," ",""),"/",""),{1,2,3,4,5,6,7,8,9,10},1),{11,10,9,8,7,6,5,4,3,2}),11))),FALSE()),AND(LEN(SUBSTITUTE(SUBSTITUTE(SUBSTITUTE(SUBSTITUTE(C9,".",""),"-","")," ",""),"/",""))=14,ISNUMBER(VALUE(SUBSTITUTE(SUBSTITUTE(SUBSTITUTE(SUBSTITUTE(C9,".",""),"-","")," ",""),"/",""))))),FALSE())),G9&gt;F9),"Revisar",IF(I9&lt;&gt;"Sim","Falta informe","OK")))</f>
        <v>Falta informe</v>
      </c>
    </row>
    <row r="10" customFormat="false" ht="15" hidden="false" customHeight="false" outlineLevel="0" collapsed="false">
      <c r="A10" s="19"/>
      <c r="B10" s="18"/>
      <c r="C10" s="18"/>
      <c r="D10" s="18"/>
      <c r="E10" s="21" t="str">
        <f aca="false">IF(D10="","",IFERROR(VLOOKUP(D10,Listas!$A$5:$B$16,2,FALSE()),""))</f>
        <v/>
      </c>
      <c r="F10" s="22"/>
      <c r="G10" s="22"/>
      <c r="H10" s="22"/>
      <c r="I10" s="23"/>
      <c r="J10" s="18"/>
      <c r="K10" s="20" t="str">
        <f aca="false">IF(AND(A10="",B10="",D10="",F10=""),"",IF(OR(A10="",B10="",D10="",F10="",NOT(IFERROR(OR(IFERROR(AND(LEN(SUBSTITUTE(SUBSTITUTE(SUBSTITUTE(SUBSTITUTE(C10,".",""),"-","")," ",""),"/",""))=11,SUBSTITUTE(SUBSTITUTE(SUBSTITUTE(SUBSTITUTE(C10,".",""),"-","")," ",""),"/","")&lt;&gt;REPT(LEFT(SUBSTITUTE(SUBSTITUTE(SUBSTITUTE(SUBSTITUTE(C10,".",""),"-","")," ",""),"/",""),1),11),VALUE(MID(SUBSTITUTE(SUBSTITUTE(SUBSTITUTE(SUBSTITUTE(C10,".",""),"-","")," ",""),"/",""),10,1))=IF(MOD(SUMPRODUCT(--MID(SUBSTITUTE(SUBSTITUTE(SUBSTITUTE(SUBSTITUTE(C10,".",""),"-","")," ",""),"/",""),{1,2,3,4,5,6,7,8,9},1),{10,9,8,7,6,5,4,3,2}),11)&lt;2,0,11-MOD(SUMPRODUCT(--MID(SUBSTITUTE(SUBSTITUTE(SUBSTITUTE(SUBSTITUTE(C10,".",""),"-","")," ",""),"/",""),{1,2,3,4,5,6,7,8,9},1),{10,9,8,7,6,5,4,3,2}),11)),VALUE(MID(SUBSTITUTE(SUBSTITUTE(SUBSTITUTE(SUBSTITUTE(C10,".",""),"-","")," ",""),"/",""),11,1))=IF(MOD(SUMPRODUCT(--MID(SUBSTITUTE(SUBSTITUTE(SUBSTITUTE(SUBSTITUTE(C10,".",""),"-","")," ",""),"/",""),{1,2,3,4,5,6,7,8,9,10},1),{11,10,9,8,7,6,5,4,3,2}),11)&lt;2,0,11-MOD(SUMPRODUCT(--MID(SUBSTITUTE(SUBSTITUTE(SUBSTITUTE(SUBSTITUTE(C10,".",""),"-","")," ",""),"/",""),{1,2,3,4,5,6,7,8,9,10},1),{11,10,9,8,7,6,5,4,3,2}),11))),FALSE()),AND(LEN(SUBSTITUTE(SUBSTITUTE(SUBSTITUTE(SUBSTITUTE(C10,".",""),"-","")," ",""),"/",""))=14,ISNUMBER(VALUE(SUBSTITUTE(SUBSTITUTE(SUBSTITUTE(SUBSTITUTE(C10,".",""),"-","")," ",""),"/",""))))),FALSE())),G10&gt;F10),"Revisar",IF(I10&lt;&gt;"Sim","Falta informe","OK")))</f>
        <v/>
      </c>
    </row>
    <row r="11" customFormat="false" ht="15" hidden="false" customHeight="false" outlineLevel="0" collapsed="false">
      <c r="A11" s="19"/>
      <c r="B11" s="18"/>
      <c r="C11" s="18"/>
      <c r="D11" s="18"/>
      <c r="E11" s="21" t="str">
        <f aca="false">IF(D11="","",IFERROR(VLOOKUP(D11,Listas!$A$5:$B$16,2,FALSE()),""))</f>
        <v/>
      </c>
      <c r="F11" s="22"/>
      <c r="G11" s="22"/>
      <c r="H11" s="22"/>
      <c r="I11" s="23"/>
      <c r="J11" s="18"/>
      <c r="K11" s="20" t="str">
        <f aca="false">IF(AND(A11="",B11="",D11="",F11=""),"",IF(OR(A11="",B11="",D11="",F11="",NOT(IFERROR(OR(IFERROR(AND(LEN(SUBSTITUTE(SUBSTITUTE(SUBSTITUTE(SUBSTITUTE(C11,".",""),"-","")," ",""),"/",""))=11,SUBSTITUTE(SUBSTITUTE(SUBSTITUTE(SUBSTITUTE(C11,".",""),"-","")," ",""),"/","")&lt;&gt;REPT(LEFT(SUBSTITUTE(SUBSTITUTE(SUBSTITUTE(SUBSTITUTE(C11,".",""),"-","")," ",""),"/",""),1),11),VALUE(MID(SUBSTITUTE(SUBSTITUTE(SUBSTITUTE(SUBSTITUTE(C11,".",""),"-","")," ",""),"/",""),10,1))=IF(MOD(SUMPRODUCT(--MID(SUBSTITUTE(SUBSTITUTE(SUBSTITUTE(SUBSTITUTE(C11,".",""),"-","")," ",""),"/",""),{1,2,3,4,5,6,7,8,9},1),{10,9,8,7,6,5,4,3,2}),11)&lt;2,0,11-MOD(SUMPRODUCT(--MID(SUBSTITUTE(SUBSTITUTE(SUBSTITUTE(SUBSTITUTE(C11,".",""),"-","")," ",""),"/",""),{1,2,3,4,5,6,7,8,9},1),{10,9,8,7,6,5,4,3,2}),11)),VALUE(MID(SUBSTITUTE(SUBSTITUTE(SUBSTITUTE(SUBSTITUTE(C11,".",""),"-","")," ",""),"/",""),11,1))=IF(MOD(SUMPRODUCT(--MID(SUBSTITUTE(SUBSTITUTE(SUBSTITUTE(SUBSTITUTE(C11,".",""),"-","")," ",""),"/",""),{1,2,3,4,5,6,7,8,9,10},1),{11,10,9,8,7,6,5,4,3,2}),11)&lt;2,0,11-MOD(SUMPRODUCT(--MID(SUBSTITUTE(SUBSTITUTE(SUBSTITUTE(SUBSTITUTE(C11,".",""),"-","")," ",""),"/",""),{1,2,3,4,5,6,7,8,9,10},1),{11,10,9,8,7,6,5,4,3,2}),11))),FALSE()),AND(LEN(SUBSTITUTE(SUBSTITUTE(SUBSTITUTE(SUBSTITUTE(C11,".",""),"-","")," ",""),"/",""))=14,ISNUMBER(VALUE(SUBSTITUTE(SUBSTITUTE(SUBSTITUTE(SUBSTITUTE(C11,".",""),"-","")," ",""),"/",""))))),FALSE())),G11&gt;F11),"Revisar",IF(I11&lt;&gt;"Sim","Falta informe","OK")))</f>
        <v/>
      </c>
    </row>
    <row r="12" customFormat="false" ht="15" hidden="false" customHeight="false" outlineLevel="0" collapsed="false">
      <c r="A12" s="19"/>
      <c r="B12" s="18"/>
      <c r="C12" s="18"/>
      <c r="D12" s="18"/>
      <c r="E12" s="21" t="str">
        <f aca="false">IF(D12="","",IFERROR(VLOOKUP(D12,Listas!$A$5:$B$16,2,FALSE()),""))</f>
        <v/>
      </c>
      <c r="F12" s="22"/>
      <c r="G12" s="22"/>
      <c r="H12" s="22"/>
      <c r="I12" s="23"/>
      <c r="J12" s="18"/>
      <c r="K12" s="20" t="str">
        <f aca="false">IF(AND(A12="",B12="",D12="",F12=""),"",IF(OR(A12="",B12="",D12="",F12="",NOT(IFERROR(OR(IFERROR(AND(LEN(SUBSTITUTE(SUBSTITUTE(SUBSTITUTE(SUBSTITUTE(C12,".",""),"-","")," ",""),"/",""))=11,SUBSTITUTE(SUBSTITUTE(SUBSTITUTE(SUBSTITUTE(C12,".",""),"-","")," ",""),"/","")&lt;&gt;REPT(LEFT(SUBSTITUTE(SUBSTITUTE(SUBSTITUTE(SUBSTITUTE(C12,".",""),"-","")," ",""),"/",""),1),11),VALUE(MID(SUBSTITUTE(SUBSTITUTE(SUBSTITUTE(SUBSTITUTE(C12,".",""),"-","")," ",""),"/",""),10,1))=IF(MOD(SUMPRODUCT(--MID(SUBSTITUTE(SUBSTITUTE(SUBSTITUTE(SUBSTITUTE(C12,".",""),"-","")," ",""),"/",""),{1,2,3,4,5,6,7,8,9},1),{10,9,8,7,6,5,4,3,2}),11)&lt;2,0,11-MOD(SUMPRODUCT(--MID(SUBSTITUTE(SUBSTITUTE(SUBSTITUTE(SUBSTITUTE(C12,".",""),"-","")," ",""),"/",""),{1,2,3,4,5,6,7,8,9},1),{10,9,8,7,6,5,4,3,2}),11)),VALUE(MID(SUBSTITUTE(SUBSTITUTE(SUBSTITUTE(SUBSTITUTE(C12,".",""),"-","")," ",""),"/",""),11,1))=IF(MOD(SUMPRODUCT(--MID(SUBSTITUTE(SUBSTITUTE(SUBSTITUTE(SUBSTITUTE(C12,".",""),"-","")," ",""),"/",""),{1,2,3,4,5,6,7,8,9,10},1),{11,10,9,8,7,6,5,4,3,2}),11)&lt;2,0,11-MOD(SUMPRODUCT(--MID(SUBSTITUTE(SUBSTITUTE(SUBSTITUTE(SUBSTITUTE(C12,".",""),"-","")," ",""),"/",""),{1,2,3,4,5,6,7,8,9,10},1),{11,10,9,8,7,6,5,4,3,2}),11))),FALSE()),AND(LEN(SUBSTITUTE(SUBSTITUTE(SUBSTITUTE(SUBSTITUTE(C12,".",""),"-","")," ",""),"/",""))=14,ISNUMBER(VALUE(SUBSTITUTE(SUBSTITUTE(SUBSTITUTE(SUBSTITUTE(C12,".",""),"-","")," ",""),"/",""))))),FALSE())),G12&gt;F12),"Revisar",IF(I12&lt;&gt;"Sim","Falta informe","OK")))</f>
        <v/>
      </c>
    </row>
    <row r="13" customFormat="false" ht="15" hidden="false" customHeight="false" outlineLevel="0" collapsed="false">
      <c r="A13" s="19"/>
      <c r="B13" s="18"/>
      <c r="C13" s="18"/>
      <c r="D13" s="18"/>
      <c r="E13" s="21" t="str">
        <f aca="false">IF(D13="","",IFERROR(VLOOKUP(D13,Listas!$A$5:$B$16,2,FALSE()),""))</f>
        <v/>
      </c>
      <c r="F13" s="22"/>
      <c r="G13" s="22"/>
      <c r="H13" s="22"/>
      <c r="I13" s="23"/>
      <c r="J13" s="18"/>
      <c r="K13" s="20" t="str">
        <f aca="false">IF(AND(A13="",B13="",D13="",F13=""),"",IF(OR(A13="",B13="",D13="",F13="",NOT(IFERROR(OR(IFERROR(AND(LEN(SUBSTITUTE(SUBSTITUTE(SUBSTITUTE(SUBSTITUTE(C13,".",""),"-","")," ",""),"/",""))=11,SUBSTITUTE(SUBSTITUTE(SUBSTITUTE(SUBSTITUTE(C13,".",""),"-","")," ",""),"/","")&lt;&gt;REPT(LEFT(SUBSTITUTE(SUBSTITUTE(SUBSTITUTE(SUBSTITUTE(C13,".",""),"-","")," ",""),"/",""),1),11),VALUE(MID(SUBSTITUTE(SUBSTITUTE(SUBSTITUTE(SUBSTITUTE(C13,".",""),"-","")," ",""),"/",""),10,1))=IF(MOD(SUMPRODUCT(--MID(SUBSTITUTE(SUBSTITUTE(SUBSTITUTE(SUBSTITUTE(C13,".",""),"-","")," ",""),"/",""),{1,2,3,4,5,6,7,8,9},1),{10,9,8,7,6,5,4,3,2}),11)&lt;2,0,11-MOD(SUMPRODUCT(--MID(SUBSTITUTE(SUBSTITUTE(SUBSTITUTE(SUBSTITUTE(C13,".",""),"-","")," ",""),"/",""),{1,2,3,4,5,6,7,8,9},1),{10,9,8,7,6,5,4,3,2}),11)),VALUE(MID(SUBSTITUTE(SUBSTITUTE(SUBSTITUTE(SUBSTITUTE(C13,".",""),"-","")," ",""),"/",""),11,1))=IF(MOD(SUMPRODUCT(--MID(SUBSTITUTE(SUBSTITUTE(SUBSTITUTE(SUBSTITUTE(C13,".",""),"-","")," ",""),"/",""),{1,2,3,4,5,6,7,8,9,10},1),{11,10,9,8,7,6,5,4,3,2}),11)&lt;2,0,11-MOD(SUMPRODUCT(--MID(SUBSTITUTE(SUBSTITUTE(SUBSTITUTE(SUBSTITUTE(C13,".",""),"-","")," ",""),"/",""),{1,2,3,4,5,6,7,8,9,10},1),{11,10,9,8,7,6,5,4,3,2}),11))),FALSE()),AND(LEN(SUBSTITUTE(SUBSTITUTE(SUBSTITUTE(SUBSTITUTE(C13,".",""),"-","")," ",""),"/",""))=14,ISNUMBER(VALUE(SUBSTITUTE(SUBSTITUTE(SUBSTITUTE(SUBSTITUTE(C13,".",""),"-","")," ",""),"/",""))))),FALSE())),G13&gt;F13),"Revisar",IF(I13&lt;&gt;"Sim","Falta informe","OK")))</f>
        <v/>
      </c>
    </row>
    <row r="14" customFormat="false" ht="15" hidden="false" customHeight="false" outlineLevel="0" collapsed="false">
      <c r="A14" s="19"/>
      <c r="B14" s="18"/>
      <c r="C14" s="18"/>
      <c r="D14" s="18"/>
      <c r="E14" s="21" t="str">
        <f aca="false">IF(D14="","",IFERROR(VLOOKUP(D14,Listas!$A$5:$B$16,2,FALSE()),""))</f>
        <v/>
      </c>
      <c r="F14" s="22"/>
      <c r="G14" s="22"/>
      <c r="H14" s="22"/>
      <c r="I14" s="23"/>
      <c r="J14" s="18"/>
      <c r="K14" s="20" t="str">
        <f aca="false">IF(AND(A14="",B14="",D14="",F14=""),"",IF(OR(A14="",B14="",D14="",F14="",NOT(IFERROR(OR(IFERROR(AND(LEN(SUBSTITUTE(SUBSTITUTE(SUBSTITUTE(SUBSTITUTE(C14,".",""),"-","")," ",""),"/",""))=11,SUBSTITUTE(SUBSTITUTE(SUBSTITUTE(SUBSTITUTE(C14,".",""),"-","")," ",""),"/","")&lt;&gt;REPT(LEFT(SUBSTITUTE(SUBSTITUTE(SUBSTITUTE(SUBSTITUTE(C14,".",""),"-","")," ",""),"/",""),1),11),VALUE(MID(SUBSTITUTE(SUBSTITUTE(SUBSTITUTE(SUBSTITUTE(C14,".",""),"-","")," ",""),"/",""),10,1))=IF(MOD(SUMPRODUCT(--MID(SUBSTITUTE(SUBSTITUTE(SUBSTITUTE(SUBSTITUTE(C14,".",""),"-","")," ",""),"/",""),{1,2,3,4,5,6,7,8,9},1),{10,9,8,7,6,5,4,3,2}),11)&lt;2,0,11-MOD(SUMPRODUCT(--MID(SUBSTITUTE(SUBSTITUTE(SUBSTITUTE(SUBSTITUTE(C14,".",""),"-","")," ",""),"/",""),{1,2,3,4,5,6,7,8,9},1),{10,9,8,7,6,5,4,3,2}),11)),VALUE(MID(SUBSTITUTE(SUBSTITUTE(SUBSTITUTE(SUBSTITUTE(C14,".",""),"-","")," ",""),"/",""),11,1))=IF(MOD(SUMPRODUCT(--MID(SUBSTITUTE(SUBSTITUTE(SUBSTITUTE(SUBSTITUTE(C14,".",""),"-","")," ",""),"/",""),{1,2,3,4,5,6,7,8,9,10},1),{11,10,9,8,7,6,5,4,3,2}),11)&lt;2,0,11-MOD(SUMPRODUCT(--MID(SUBSTITUTE(SUBSTITUTE(SUBSTITUTE(SUBSTITUTE(C14,".",""),"-","")," ",""),"/",""),{1,2,3,4,5,6,7,8,9,10},1),{11,10,9,8,7,6,5,4,3,2}),11))),FALSE()),AND(LEN(SUBSTITUTE(SUBSTITUTE(SUBSTITUTE(SUBSTITUTE(C14,".",""),"-","")," ",""),"/",""))=14,ISNUMBER(VALUE(SUBSTITUTE(SUBSTITUTE(SUBSTITUTE(SUBSTITUTE(C14,".",""),"-","")," ",""),"/",""))))),FALSE())),G14&gt;F14),"Revisar",IF(I14&lt;&gt;"Sim","Falta informe","OK")))</f>
        <v/>
      </c>
    </row>
    <row r="15" customFormat="false" ht="15" hidden="false" customHeight="false" outlineLevel="0" collapsed="false">
      <c r="A15" s="19"/>
      <c r="B15" s="18"/>
      <c r="C15" s="18"/>
      <c r="D15" s="18"/>
      <c r="E15" s="21" t="str">
        <f aca="false">IF(D15="","",IFERROR(VLOOKUP(D15,Listas!$A$5:$B$16,2,FALSE()),""))</f>
        <v/>
      </c>
      <c r="F15" s="22"/>
      <c r="G15" s="22"/>
      <c r="H15" s="22"/>
      <c r="I15" s="23"/>
      <c r="J15" s="18"/>
      <c r="K15" s="20" t="str">
        <f aca="false">IF(AND(A15="",B15="",D15="",F15=""),"",IF(OR(A15="",B15="",D15="",F15="",NOT(IFERROR(OR(IFERROR(AND(LEN(SUBSTITUTE(SUBSTITUTE(SUBSTITUTE(SUBSTITUTE(C15,".",""),"-","")," ",""),"/",""))=11,SUBSTITUTE(SUBSTITUTE(SUBSTITUTE(SUBSTITUTE(C15,".",""),"-","")," ",""),"/","")&lt;&gt;REPT(LEFT(SUBSTITUTE(SUBSTITUTE(SUBSTITUTE(SUBSTITUTE(C15,".",""),"-","")," ",""),"/",""),1),11),VALUE(MID(SUBSTITUTE(SUBSTITUTE(SUBSTITUTE(SUBSTITUTE(C15,".",""),"-","")," ",""),"/",""),10,1))=IF(MOD(SUMPRODUCT(--MID(SUBSTITUTE(SUBSTITUTE(SUBSTITUTE(SUBSTITUTE(C15,".",""),"-","")," ",""),"/",""),{1,2,3,4,5,6,7,8,9},1),{10,9,8,7,6,5,4,3,2}),11)&lt;2,0,11-MOD(SUMPRODUCT(--MID(SUBSTITUTE(SUBSTITUTE(SUBSTITUTE(SUBSTITUTE(C15,".",""),"-","")," ",""),"/",""),{1,2,3,4,5,6,7,8,9},1),{10,9,8,7,6,5,4,3,2}),11)),VALUE(MID(SUBSTITUTE(SUBSTITUTE(SUBSTITUTE(SUBSTITUTE(C15,".",""),"-","")," ",""),"/",""),11,1))=IF(MOD(SUMPRODUCT(--MID(SUBSTITUTE(SUBSTITUTE(SUBSTITUTE(SUBSTITUTE(C15,".",""),"-","")," ",""),"/",""),{1,2,3,4,5,6,7,8,9,10},1),{11,10,9,8,7,6,5,4,3,2}),11)&lt;2,0,11-MOD(SUMPRODUCT(--MID(SUBSTITUTE(SUBSTITUTE(SUBSTITUTE(SUBSTITUTE(C15,".",""),"-","")," ",""),"/",""),{1,2,3,4,5,6,7,8,9,10},1),{11,10,9,8,7,6,5,4,3,2}),11))),FALSE()),AND(LEN(SUBSTITUTE(SUBSTITUTE(SUBSTITUTE(SUBSTITUTE(C15,".",""),"-","")," ",""),"/",""))=14,ISNUMBER(VALUE(SUBSTITUTE(SUBSTITUTE(SUBSTITUTE(SUBSTITUTE(C15,".",""),"-","")," ",""),"/",""))))),FALSE())),G15&gt;F15),"Revisar",IF(I15&lt;&gt;"Sim","Falta informe","OK")))</f>
        <v/>
      </c>
    </row>
    <row r="16" customFormat="false" ht="15" hidden="false" customHeight="false" outlineLevel="0" collapsed="false">
      <c r="A16" s="19"/>
      <c r="B16" s="18"/>
      <c r="C16" s="18"/>
      <c r="D16" s="18"/>
      <c r="E16" s="21" t="str">
        <f aca="false">IF(D16="","",IFERROR(VLOOKUP(D16,Listas!$A$5:$B$16,2,FALSE()),""))</f>
        <v/>
      </c>
      <c r="F16" s="22"/>
      <c r="G16" s="22"/>
      <c r="H16" s="22"/>
      <c r="I16" s="23"/>
      <c r="J16" s="18"/>
      <c r="K16" s="20" t="str">
        <f aca="false">IF(AND(A16="",B16="",D16="",F16=""),"",IF(OR(A16="",B16="",D16="",F16="",NOT(IFERROR(OR(IFERROR(AND(LEN(SUBSTITUTE(SUBSTITUTE(SUBSTITUTE(SUBSTITUTE(C16,".",""),"-","")," ",""),"/",""))=11,SUBSTITUTE(SUBSTITUTE(SUBSTITUTE(SUBSTITUTE(C16,".",""),"-","")," ",""),"/","")&lt;&gt;REPT(LEFT(SUBSTITUTE(SUBSTITUTE(SUBSTITUTE(SUBSTITUTE(C16,".",""),"-","")," ",""),"/",""),1),11),VALUE(MID(SUBSTITUTE(SUBSTITUTE(SUBSTITUTE(SUBSTITUTE(C16,".",""),"-","")," ",""),"/",""),10,1))=IF(MOD(SUMPRODUCT(--MID(SUBSTITUTE(SUBSTITUTE(SUBSTITUTE(SUBSTITUTE(C16,".",""),"-","")," ",""),"/",""),{1,2,3,4,5,6,7,8,9},1),{10,9,8,7,6,5,4,3,2}),11)&lt;2,0,11-MOD(SUMPRODUCT(--MID(SUBSTITUTE(SUBSTITUTE(SUBSTITUTE(SUBSTITUTE(C16,".",""),"-","")," ",""),"/",""),{1,2,3,4,5,6,7,8,9},1),{10,9,8,7,6,5,4,3,2}),11)),VALUE(MID(SUBSTITUTE(SUBSTITUTE(SUBSTITUTE(SUBSTITUTE(C16,".",""),"-","")," ",""),"/",""),11,1))=IF(MOD(SUMPRODUCT(--MID(SUBSTITUTE(SUBSTITUTE(SUBSTITUTE(SUBSTITUTE(C16,".",""),"-","")," ",""),"/",""),{1,2,3,4,5,6,7,8,9,10},1),{11,10,9,8,7,6,5,4,3,2}),11)&lt;2,0,11-MOD(SUMPRODUCT(--MID(SUBSTITUTE(SUBSTITUTE(SUBSTITUTE(SUBSTITUTE(C16,".",""),"-","")," ",""),"/",""),{1,2,3,4,5,6,7,8,9,10},1),{11,10,9,8,7,6,5,4,3,2}),11))),FALSE()),AND(LEN(SUBSTITUTE(SUBSTITUTE(SUBSTITUTE(SUBSTITUTE(C16,".",""),"-","")," ",""),"/",""))=14,ISNUMBER(VALUE(SUBSTITUTE(SUBSTITUTE(SUBSTITUTE(SUBSTITUTE(C16,".",""),"-","")," ",""),"/",""))))),FALSE())),G16&gt;F16),"Revisar",IF(I16&lt;&gt;"Sim","Falta informe","OK")))</f>
        <v/>
      </c>
    </row>
    <row r="17" customFormat="false" ht="15" hidden="false" customHeight="false" outlineLevel="0" collapsed="false">
      <c r="A17" s="19"/>
      <c r="B17" s="18"/>
      <c r="C17" s="18"/>
      <c r="D17" s="18"/>
      <c r="E17" s="21" t="str">
        <f aca="false">IF(D17="","",IFERROR(VLOOKUP(D17,Listas!$A$5:$B$16,2,FALSE()),""))</f>
        <v/>
      </c>
      <c r="F17" s="22"/>
      <c r="G17" s="22"/>
      <c r="H17" s="22"/>
      <c r="I17" s="23"/>
      <c r="J17" s="18"/>
      <c r="K17" s="20" t="str">
        <f aca="false">IF(AND(A17="",B17="",D17="",F17=""),"",IF(OR(A17="",B17="",D17="",F17="",NOT(IFERROR(OR(IFERROR(AND(LEN(SUBSTITUTE(SUBSTITUTE(SUBSTITUTE(SUBSTITUTE(C17,".",""),"-","")," ",""),"/",""))=11,SUBSTITUTE(SUBSTITUTE(SUBSTITUTE(SUBSTITUTE(C17,".",""),"-","")," ",""),"/","")&lt;&gt;REPT(LEFT(SUBSTITUTE(SUBSTITUTE(SUBSTITUTE(SUBSTITUTE(C17,".",""),"-","")," ",""),"/",""),1),11),VALUE(MID(SUBSTITUTE(SUBSTITUTE(SUBSTITUTE(SUBSTITUTE(C17,".",""),"-","")," ",""),"/",""),10,1))=IF(MOD(SUMPRODUCT(--MID(SUBSTITUTE(SUBSTITUTE(SUBSTITUTE(SUBSTITUTE(C17,".",""),"-","")," ",""),"/",""),{1,2,3,4,5,6,7,8,9},1),{10,9,8,7,6,5,4,3,2}),11)&lt;2,0,11-MOD(SUMPRODUCT(--MID(SUBSTITUTE(SUBSTITUTE(SUBSTITUTE(SUBSTITUTE(C17,".",""),"-","")," ",""),"/",""),{1,2,3,4,5,6,7,8,9},1),{10,9,8,7,6,5,4,3,2}),11)),VALUE(MID(SUBSTITUTE(SUBSTITUTE(SUBSTITUTE(SUBSTITUTE(C17,".",""),"-","")," ",""),"/",""),11,1))=IF(MOD(SUMPRODUCT(--MID(SUBSTITUTE(SUBSTITUTE(SUBSTITUTE(SUBSTITUTE(C17,".",""),"-","")," ",""),"/",""),{1,2,3,4,5,6,7,8,9,10},1),{11,10,9,8,7,6,5,4,3,2}),11)&lt;2,0,11-MOD(SUMPRODUCT(--MID(SUBSTITUTE(SUBSTITUTE(SUBSTITUTE(SUBSTITUTE(C17,".",""),"-","")," ",""),"/",""),{1,2,3,4,5,6,7,8,9,10},1),{11,10,9,8,7,6,5,4,3,2}),11))),FALSE()),AND(LEN(SUBSTITUTE(SUBSTITUTE(SUBSTITUTE(SUBSTITUTE(C17,".",""),"-","")," ",""),"/",""))=14,ISNUMBER(VALUE(SUBSTITUTE(SUBSTITUTE(SUBSTITUTE(SUBSTITUTE(C17,".",""),"-","")," ",""),"/",""))))),FALSE())),G17&gt;F17),"Revisar",IF(I17&lt;&gt;"Sim","Falta informe","OK")))</f>
        <v/>
      </c>
    </row>
    <row r="18" customFormat="false" ht="15" hidden="false" customHeight="false" outlineLevel="0" collapsed="false">
      <c r="A18" s="19"/>
      <c r="B18" s="18"/>
      <c r="C18" s="18"/>
      <c r="D18" s="18"/>
      <c r="E18" s="21" t="str">
        <f aca="false">IF(D18="","",IFERROR(VLOOKUP(D18,Listas!$A$5:$B$16,2,FALSE()),""))</f>
        <v/>
      </c>
      <c r="F18" s="22"/>
      <c r="G18" s="22"/>
      <c r="H18" s="22"/>
      <c r="I18" s="23"/>
      <c r="J18" s="18"/>
      <c r="K18" s="20" t="str">
        <f aca="false">IF(AND(A18="",B18="",D18="",F18=""),"",IF(OR(A18="",B18="",D18="",F18="",NOT(IFERROR(OR(IFERROR(AND(LEN(SUBSTITUTE(SUBSTITUTE(SUBSTITUTE(SUBSTITUTE(C18,".",""),"-","")," ",""),"/",""))=11,SUBSTITUTE(SUBSTITUTE(SUBSTITUTE(SUBSTITUTE(C18,".",""),"-","")," ",""),"/","")&lt;&gt;REPT(LEFT(SUBSTITUTE(SUBSTITUTE(SUBSTITUTE(SUBSTITUTE(C18,".",""),"-","")," ",""),"/",""),1),11),VALUE(MID(SUBSTITUTE(SUBSTITUTE(SUBSTITUTE(SUBSTITUTE(C18,".",""),"-","")," ",""),"/",""),10,1))=IF(MOD(SUMPRODUCT(--MID(SUBSTITUTE(SUBSTITUTE(SUBSTITUTE(SUBSTITUTE(C18,".",""),"-","")," ",""),"/",""),{1,2,3,4,5,6,7,8,9},1),{10,9,8,7,6,5,4,3,2}),11)&lt;2,0,11-MOD(SUMPRODUCT(--MID(SUBSTITUTE(SUBSTITUTE(SUBSTITUTE(SUBSTITUTE(C18,".",""),"-","")," ",""),"/",""),{1,2,3,4,5,6,7,8,9},1),{10,9,8,7,6,5,4,3,2}),11)),VALUE(MID(SUBSTITUTE(SUBSTITUTE(SUBSTITUTE(SUBSTITUTE(C18,".",""),"-","")," ",""),"/",""),11,1))=IF(MOD(SUMPRODUCT(--MID(SUBSTITUTE(SUBSTITUTE(SUBSTITUTE(SUBSTITUTE(C18,".",""),"-","")," ",""),"/",""),{1,2,3,4,5,6,7,8,9,10},1),{11,10,9,8,7,6,5,4,3,2}),11)&lt;2,0,11-MOD(SUMPRODUCT(--MID(SUBSTITUTE(SUBSTITUTE(SUBSTITUTE(SUBSTITUTE(C18,".",""),"-","")," ",""),"/",""),{1,2,3,4,5,6,7,8,9,10},1),{11,10,9,8,7,6,5,4,3,2}),11))),FALSE()),AND(LEN(SUBSTITUTE(SUBSTITUTE(SUBSTITUTE(SUBSTITUTE(C18,".",""),"-","")," ",""),"/",""))=14,ISNUMBER(VALUE(SUBSTITUTE(SUBSTITUTE(SUBSTITUTE(SUBSTITUTE(C18,".",""),"-","")," ",""),"/",""))))),FALSE())),G18&gt;F18),"Revisar",IF(I18&lt;&gt;"Sim","Falta informe","OK")))</f>
        <v/>
      </c>
    </row>
    <row r="19" customFormat="false" ht="15" hidden="false" customHeight="false" outlineLevel="0" collapsed="false">
      <c r="A19" s="19"/>
      <c r="B19" s="18"/>
      <c r="C19" s="18"/>
      <c r="D19" s="18"/>
      <c r="E19" s="21" t="str">
        <f aca="false">IF(D19="","",IFERROR(VLOOKUP(D19,Listas!$A$5:$B$16,2,FALSE()),""))</f>
        <v/>
      </c>
      <c r="F19" s="22"/>
      <c r="G19" s="22"/>
      <c r="H19" s="22"/>
      <c r="I19" s="23"/>
      <c r="J19" s="18"/>
      <c r="K19" s="20" t="str">
        <f aca="false">IF(AND(A19="",B19="",D19="",F19=""),"",IF(OR(A19="",B19="",D19="",F19="",NOT(IFERROR(OR(IFERROR(AND(LEN(SUBSTITUTE(SUBSTITUTE(SUBSTITUTE(SUBSTITUTE(C19,".",""),"-","")," ",""),"/",""))=11,SUBSTITUTE(SUBSTITUTE(SUBSTITUTE(SUBSTITUTE(C19,".",""),"-","")," ",""),"/","")&lt;&gt;REPT(LEFT(SUBSTITUTE(SUBSTITUTE(SUBSTITUTE(SUBSTITUTE(C19,".",""),"-","")," ",""),"/",""),1),11),VALUE(MID(SUBSTITUTE(SUBSTITUTE(SUBSTITUTE(SUBSTITUTE(C19,".",""),"-","")," ",""),"/",""),10,1))=IF(MOD(SUMPRODUCT(--MID(SUBSTITUTE(SUBSTITUTE(SUBSTITUTE(SUBSTITUTE(C19,".",""),"-","")," ",""),"/",""),{1,2,3,4,5,6,7,8,9},1),{10,9,8,7,6,5,4,3,2}),11)&lt;2,0,11-MOD(SUMPRODUCT(--MID(SUBSTITUTE(SUBSTITUTE(SUBSTITUTE(SUBSTITUTE(C19,".",""),"-","")," ",""),"/",""),{1,2,3,4,5,6,7,8,9},1),{10,9,8,7,6,5,4,3,2}),11)),VALUE(MID(SUBSTITUTE(SUBSTITUTE(SUBSTITUTE(SUBSTITUTE(C19,".",""),"-","")," ",""),"/",""),11,1))=IF(MOD(SUMPRODUCT(--MID(SUBSTITUTE(SUBSTITUTE(SUBSTITUTE(SUBSTITUTE(C19,".",""),"-","")," ",""),"/",""),{1,2,3,4,5,6,7,8,9,10},1),{11,10,9,8,7,6,5,4,3,2}),11)&lt;2,0,11-MOD(SUMPRODUCT(--MID(SUBSTITUTE(SUBSTITUTE(SUBSTITUTE(SUBSTITUTE(C19,".",""),"-","")," ",""),"/",""),{1,2,3,4,5,6,7,8,9,10},1),{11,10,9,8,7,6,5,4,3,2}),11))),FALSE()),AND(LEN(SUBSTITUTE(SUBSTITUTE(SUBSTITUTE(SUBSTITUTE(C19,".",""),"-","")," ",""),"/",""))=14,ISNUMBER(VALUE(SUBSTITUTE(SUBSTITUTE(SUBSTITUTE(SUBSTITUTE(C19,".",""),"-","")," ",""),"/",""))))),FALSE())),G19&gt;F19),"Revisar",IF(I19&lt;&gt;"Sim","Falta informe","OK")))</f>
        <v/>
      </c>
    </row>
    <row r="20" customFormat="false" ht="15" hidden="false" customHeight="false" outlineLevel="0" collapsed="false">
      <c r="A20" s="19"/>
      <c r="B20" s="18"/>
      <c r="C20" s="18"/>
      <c r="D20" s="18"/>
      <c r="E20" s="21" t="str">
        <f aca="false">IF(D20="","",IFERROR(VLOOKUP(D20,Listas!$A$5:$B$16,2,FALSE()),""))</f>
        <v/>
      </c>
      <c r="F20" s="22"/>
      <c r="G20" s="22"/>
      <c r="H20" s="22"/>
      <c r="I20" s="23"/>
      <c r="J20" s="18"/>
      <c r="K20" s="20" t="str">
        <f aca="false">IF(AND(A20="",B20="",D20="",F20=""),"",IF(OR(A20="",B20="",D20="",F20="",NOT(IFERROR(OR(IFERROR(AND(LEN(SUBSTITUTE(SUBSTITUTE(SUBSTITUTE(SUBSTITUTE(C20,".",""),"-","")," ",""),"/",""))=11,SUBSTITUTE(SUBSTITUTE(SUBSTITUTE(SUBSTITUTE(C20,".",""),"-","")," ",""),"/","")&lt;&gt;REPT(LEFT(SUBSTITUTE(SUBSTITUTE(SUBSTITUTE(SUBSTITUTE(C20,".",""),"-","")," ",""),"/",""),1),11),VALUE(MID(SUBSTITUTE(SUBSTITUTE(SUBSTITUTE(SUBSTITUTE(C20,".",""),"-","")," ",""),"/",""),10,1))=IF(MOD(SUMPRODUCT(--MID(SUBSTITUTE(SUBSTITUTE(SUBSTITUTE(SUBSTITUTE(C20,".",""),"-","")," ",""),"/",""),{1,2,3,4,5,6,7,8,9},1),{10,9,8,7,6,5,4,3,2}),11)&lt;2,0,11-MOD(SUMPRODUCT(--MID(SUBSTITUTE(SUBSTITUTE(SUBSTITUTE(SUBSTITUTE(C20,".",""),"-","")," ",""),"/",""),{1,2,3,4,5,6,7,8,9},1),{10,9,8,7,6,5,4,3,2}),11)),VALUE(MID(SUBSTITUTE(SUBSTITUTE(SUBSTITUTE(SUBSTITUTE(C20,".",""),"-","")," ",""),"/",""),11,1))=IF(MOD(SUMPRODUCT(--MID(SUBSTITUTE(SUBSTITUTE(SUBSTITUTE(SUBSTITUTE(C20,".",""),"-","")," ",""),"/",""),{1,2,3,4,5,6,7,8,9,10},1),{11,10,9,8,7,6,5,4,3,2}),11)&lt;2,0,11-MOD(SUMPRODUCT(--MID(SUBSTITUTE(SUBSTITUTE(SUBSTITUTE(SUBSTITUTE(C20,".",""),"-","")," ",""),"/",""),{1,2,3,4,5,6,7,8,9,10},1),{11,10,9,8,7,6,5,4,3,2}),11))),FALSE()),AND(LEN(SUBSTITUTE(SUBSTITUTE(SUBSTITUTE(SUBSTITUTE(C20,".",""),"-","")," ",""),"/",""))=14,ISNUMBER(VALUE(SUBSTITUTE(SUBSTITUTE(SUBSTITUTE(SUBSTITUTE(C20,".",""),"-","")," ",""),"/",""))))),FALSE())),G20&gt;F20),"Revisar",IF(I20&lt;&gt;"Sim","Falta informe","OK")))</f>
        <v/>
      </c>
    </row>
    <row r="21" customFormat="false" ht="15" hidden="false" customHeight="false" outlineLevel="0" collapsed="false">
      <c r="A21" s="19"/>
      <c r="B21" s="18"/>
      <c r="C21" s="18"/>
      <c r="D21" s="18"/>
      <c r="E21" s="21" t="str">
        <f aca="false">IF(D21="","",IFERROR(VLOOKUP(D21,Listas!$A$5:$B$16,2,FALSE()),""))</f>
        <v/>
      </c>
      <c r="F21" s="22"/>
      <c r="G21" s="22"/>
      <c r="H21" s="22"/>
      <c r="I21" s="23"/>
      <c r="J21" s="18"/>
      <c r="K21" s="20" t="str">
        <f aca="false">IF(AND(A21="",B21="",D21="",F21=""),"",IF(OR(A21="",B21="",D21="",F21="",NOT(IFERROR(OR(IFERROR(AND(LEN(SUBSTITUTE(SUBSTITUTE(SUBSTITUTE(SUBSTITUTE(C21,".",""),"-","")," ",""),"/",""))=11,SUBSTITUTE(SUBSTITUTE(SUBSTITUTE(SUBSTITUTE(C21,".",""),"-","")," ",""),"/","")&lt;&gt;REPT(LEFT(SUBSTITUTE(SUBSTITUTE(SUBSTITUTE(SUBSTITUTE(C21,".",""),"-","")," ",""),"/",""),1),11),VALUE(MID(SUBSTITUTE(SUBSTITUTE(SUBSTITUTE(SUBSTITUTE(C21,".",""),"-","")," ",""),"/",""),10,1))=IF(MOD(SUMPRODUCT(--MID(SUBSTITUTE(SUBSTITUTE(SUBSTITUTE(SUBSTITUTE(C21,".",""),"-","")," ",""),"/",""),{1,2,3,4,5,6,7,8,9},1),{10,9,8,7,6,5,4,3,2}),11)&lt;2,0,11-MOD(SUMPRODUCT(--MID(SUBSTITUTE(SUBSTITUTE(SUBSTITUTE(SUBSTITUTE(C21,".",""),"-","")," ",""),"/",""),{1,2,3,4,5,6,7,8,9},1),{10,9,8,7,6,5,4,3,2}),11)),VALUE(MID(SUBSTITUTE(SUBSTITUTE(SUBSTITUTE(SUBSTITUTE(C21,".",""),"-","")," ",""),"/",""),11,1))=IF(MOD(SUMPRODUCT(--MID(SUBSTITUTE(SUBSTITUTE(SUBSTITUTE(SUBSTITUTE(C21,".",""),"-","")," ",""),"/",""),{1,2,3,4,5,6,7,8,9,10},1),{11,10,9,8,7,6,5,4,3,2}),11)&lt;2,0,11-MOD(SUMPRODUCT(--MID(SUBSTITUTE(SUBSTITUTE(SUBSTITUTE(SUBSTITUTE(C21,".",""),"-","")," ",""),"/",""),{1,2,3,4,5,6,7,8,9,10},1),{11,10,9,8,7,6,5,4,3,2}),11))),FALSE()),AND(LEN(SUBSTITUTE(SUBSTITUTE(SUBSTITUTE(SUBSTITUTE(C21,".",""),"-","")," ",""),"/",""))=14,ISNUMBER(VALUE(SUBSTITUTE(SUBSTITUTE(SUBSTITUTE(SUBSTITUTE(C21,".",""),"-","")," ",""),"/",""))))),FALSE())),G21&gt;F21),"Revisar",IF(I21&lt;&gt;"Sim","Falta informe","OK")))</f>
        <v/>
      </c>
    </row>
    <row r="22" customFormat="false" ht="15" hidden="false" customHeight="false" outlineLevel="0" collapsed="false">
      <c r="A22" s="19"/>
      <c r="B22" s="18"/>
      <c r="C22" s="18"/>
      <c r="D22" s="18"/>
      <c r="E22" s="21" t="str">
        <f aca="false">IF(D22="","",IFERROR(VLOOKUP(D22,Listas!$A$5:$B$16,2,FALSE()),""))</f>
        <v/>
      </c>
      <c r="F22" s="22"/>
      <c r="G22" s="22"/>
      <c r="H22" s="22"/>
      <c r="I22" s="23"/>
      <c r="J22" s="18"/>
      <c r="K22" s="20" t="str">
        <f aca="false">IF(AND(A22="",B22="",D22="",F22=""),"",IF(OR(A22="",B22="",D22="",F22="",NOT(IFERROR(OR(IFERROR(AND(LEN(SUBSTITUTE(SUBSTITUTE(SUBSTITUTE(SUBSTITUTE(C22,".",""),"-","")," ",""),"/",""))=11,SUBSTITUTE(SUBSTITUTE(SUBSTITUTE(SUBSTITUTE(C22,".",""),"-","")," ",""),"/","")&lt;&gt;REPT(LEFT(SUBSTITUTE(SUBSTITUTE(SUBSTITUTE(SUBSTITUTE(C22,".",""),"-","")," ",""),"/",""),1),11),VALUE(MID(SUBSTITUTE(SUBSTITUTE(SUBSTITUTE(SUBSTITUTE(C22,".",""),"-","")," ",""),"/",""),10,1))=IF(MOD(SUMPRODUCT(--MID(SUBSTITUTE(SUBSTITUTE(SUBSTITUTE(SUBSTITUTE(C22,".",""),"-","")," ",""),"/",""),{1,2,3,4,5,6,7,8,9},1),{10,9,8,7,6,5,4,3,2}),11)&lt;2,0,11-MOD(SUMPRODUCT(--MID(SUBSTITUTE(SUBSTITUTE(SUBSTITUTE(SUBSTITUTE(C22,".",""),"-","")," ",""),"/",""),{1,2,3,4,5,6,7,8,9},1),{10,9,8,7,6,5,4,3,2}),11)),VALUE(MID(SUBSTITUTE(SUBSTITUTE(SUBSTITUTE(SUBSTITUTE(C22,".",""),"-","")," ",""),"/",""),11,1))=IF(MOD(SUMPRODUCT(--MID(SUBSTITUTE(SUBSTITUTE(SUBSTITUTE(SUBSTITUTE(C22,".",""),"-","")," ",""),"/",""),{1,2,3,4,5,6,7,8,9,10},1),{11,10,9,8,7,6,5,4,3,2}),11)&lt;2,0,11-MOD(SUMPRODUCT(--MID(SUBSTITUTE(SUBSTITUTE(SUBSTITUTE(SUBSTITUTE(C22,".",""),"-","")," ",""),"/",""),{1,2,3,4,5,6,7,8,9,10},1),{11,10,9,8,7,6,5,4,3,2}),11))),FALSE()),AND(LEN(SUBSTITUTE(SUBSTITUTE(SUBSTITUTE(SUBSTITUTE(C22,".",""),"-","")," ",""),"/",""))=14,ISNUMBER(VALUE(SUBSTITUTE(SUBSTITUTE(SUBSTITUTE(SUBSTITUTE(C22,".",""),"-","")," ",""),"/",""))))),FALSE())),G22&gt;F22),"Revisar",IF(I22&lt;&gt;"Sim","Falta informe","OK")))</f>
        <v/>
      </c>
    </row>
    <row r="23" customFormat="false" ht="15" hidden="false" customHeight="false" outlineLevel="0" collapsed="false">
      <c r="A23" s="19"/>
      <c r="B23" s="18"/>
      <c r="C23" s="18"/>
      <c r="D23" s="18"/>
      <c r="E23" s="21" t="str">
        <f aca="false">IF(D23="","",IFERROR(VLOOKUP(D23,Listas!$A$5:$B$16,2,FALSE()),""))</f>
        <v/>
      </c>
      <c r="F23" s="22"/>
      <c r="G23" s="22"/>
      <c r="H23" s="22"/>
      <c r="I23" s="23"/>
      <c r="J23" s="18"/>
      <c r="K23" s="20" t="str">
        <f aca="false">IF(AND(A23="",B23="",D23="",F23=""),"",IF(OR(A23="",B23="",D23="",F23="",NOT(IFERROR(OR(IFERROR(AND(LEN(SUBSTITUTE(SUBSTITUTE(SUBSTITUTE(SUBSTITUTE(C23,".",""),"-","")," ",""),"/",""))=11,SUBSTITUTE(SUBSTITUTE(SUBSTITUTE(SUBSTITUTE(C23,".",""),"-","")," ",""),"/","")&lt;&gt;REPT(LEFT(SUBSTITUTE(SUBSTITUTE(SUBSTITUTE(SUBSTITUTE(C23,".",""),"-","")," ",""),"/",""),1),11),VALUE(MID(SUBSTITUTE(SUBSTITUTE(SUBSTITUTE(SUBSTITUTE(C23,".",""),"-","")," ",""),"/",""),10,1))=IF(MOD(SUMPRODUCT(--MID(SUBSTITUTE(SUBSTITUTE(SUBSTITUTE(SUBSTITUTE(C23,".",""),"-","")," ",""),"/",""),{1,2,3,4,5,6,7,8,9},1),{10,9,8,7,6,5,4,3,2}),11)&lt;2,0,11-MOD(SUMPRODUCT(--MID(SUBSTITUTE(SUBSTITUTE(SUBSTITUTE(SUBSTITUTE(C23,".",""),"-","")," ",""),"/",""),{1,2,3,4,5,6,7,8,9},1),{10,9,8,7,6,5,4,3,2}),11)),VALUE(MID(SUBSTITUTE(SUBSTITUTE(SUBSTITUTE(SUBSTITUTE(C23,".",""),"-","")," ",""),"/",""),11,1))=IF(MOD(SUMPRODUCT(--MID(SUBSTITUTE(SUBSTITUTE(SUBSTITUTE(SUBSTITUTE(C23,".",""),"-","")," ",""),"/",""),{1,2,3,4,5,6,7,8,9,10},1),{11,10,9,8,7,6,5,4,3,2}),11)&lt;2,0,11-MOD(SUMPRODUCT(--MID(SUBSTITUTE(SUBSTITUTE(SUBSTITUTE(SUBSTITUTE(C23,".",""),"-","")," ",""),"/",""),{1,2,3,4,5,6,7,8,9,10},1),{11,10,9,8,7,6,5,4,3,2}),11))),FALSE()),AND(LEN(SUBSTITUTE(SUBSTITUTE(SUBSTITUTE(SUBSTITUTE(C23,".",""),"-","")," ",""),"/",""))=14,ISNUMBER(VALUE(SUBSTITUTE(SUBSTITUTE(SUBSTITUTE(SUBSTITUTE(C23,".",""),"-","")," ",""),"/",""))))),FALSE())),G23&gt;F23),"Revisar",IF(I23&lt;&gt;"Sim","Falta informe","OK")))</f>
        <v/>
      </c>
    </row>
    <row r="24" customFormat="false" ht="15" hidden="false" customHeight="false" outlineLevel="0" collapsed="false">
      <c r="A24" s="19"/>
      <c r="B24" s="18"/>
      <c r="C24" s="18"/>
      <c r="D24" s="18"/>
      <c r="E24" s="21" t="str">
        <f aca="false">IF(D24="","",IFERROR(VLOOKUP(D24,Listas!$A$5:$B$16,2,FALSE()),""))</f>
        <v/>
      </c>
      <c r="F24" s="22"/>
      <c r="G24" s="22"/>
      <c r="H24" s="22"/>
      <c r="I24" s="23"/>
      <c r="J24" s="18"/>
      <c r="K24" s="20" t="str">
        <f aca="false">IF(AND(A24="",B24="",D24="",F24=""),"",IF(OR(A24="",B24="",D24="",F24="",NOT(IFERROR(OR(IFERROR(AND(LEN(SUBSTITUTE(SUBSTITUTE(SUBSTITUTE(SUBSTITUTE(C24,".",""),"-","")," ",""),"/",""))=11,SUBSTITUTE(SUBSTITUTE(SUBSTITUTE(SUBSTITUTE(C24,".",""),"-","")," ",""),"/","")&lt;&gt;REPT(LEFT(SUBSTITUTE(SUBSTITUTE(SUBSTITUTE(SUBSTITUTE(C24,".",""),"-","")," ",""),"/",""),1),11),VALUE(MID(SUBSTITUTE(SUBSTITUTE(SUBSTITUTE(SUBSTITUTE(C24,".",""),"-","")," ",""),"/",""),10,1))=IF(MOD(SUMPRODUCT(--MID(SUBSTITUTE(SUBSTITUTE(SUBSTITUTE(SUBSTITUTE(C24,".",""),"-","")," ",""),"/",""),{1,2,3,4,5,6,7,8,9},1),{10,9,8,7,6,5,4,3,2}),11)&lt;2,0,11-MOD(SUMPRODUCT(--MID(SUBSTITUTE(SUBSTITUTE(SUBSTITUTE(SUBSTITUTE(C24,".",""),"-","")," ",""),"/",""),{1,2,3,4,5,6,7,8,9},1),{10,9,8,7,6,5,4,3,2}),11)),VALUE(MID(SUBSTITUTE(SUBSTITUTE(SUBSTITUTE(SUBSTITUTE(C24,".",""),"-","")," ",""),"/",""),11,1))=IF(MOD(SUMPRODUCT(--MID(SUBSTITUTE(SUBSTITUTE(SUBSTITUTE(SUBSTITUTE(C24,".",""),"-","")," ",""),"/",""),{1,2,3,4,5,6,7,8,9,10},1),{11,10,9,8,7,6,5,4,3,2}),11)&lt;2,0,11-MOD(SUMPRODUCT(--MID(SUBSTITUTE(SUBSTITUTE(SUBSTITUTE(SUBSTITUTE(C24,".",""),"-","")," ",""),"/",""),{1,2,3,4,5,6,7,8,9,10},1),{11,10,9,8,7,6,5,4,3,2}),11))),FALSE()),AND(LEN(SUBSTITUTE(SUBSTITUTE(SUBSTITUTE(SUBSTITUTE(C24,".",""),"-","")," ",""),"/",""))=14,ISNUMBER(VALUE(SUBSTITUTE(SUBSTITUTE(SUBSTITUTE(SUBSTITUTE(C24,".",""),"-","")," ",""),"/",""))))),FALSE())),G24&gt;F24),"Revisar",IF(I24&lt;&gt;"Sim","Falta informe","OK")))</f>
        <v/>
      </c>
    </row>
    <row r="25" customFormat="false" ht="15" hidden="false" customHeight="false" outlineLevel="0" collapsed="false">
      <c r="A25" s="19"/>
      <c r="B25" s="18"/>
      <c r="C25" s="18"/>
      <c r="D25" s="18"/>
      <c r="E25" s="21" t="str">
        <f aca="false">IF(D25="","",IFERROR(VLOOKUP(D25,Listas!$A$5:$B$16,2,FALSE()),""))</f>
        <v/>
      </c>
      <c r="F25" s="22"/>
      <c r="G25" s="22"/>
      <c r="H25" s="22"/>
      <c r="I25" s="23"/>
      <c r="J25" s="18"/>
      <c r="K25" s="20" t="str">
        <f aca="false">IF(AND(A25="",B25="",D25="",F25=""),"",IF(OR(A25="",B25="",D25="",F25="",NOT(IFERROR(OR(IFERROR(AND(LEN(SUBSTITUTE(SUBSTITUTE(SUBSTITUTE(SUBSTITUTE(C25,".",""),"-","")," ",""),"/",""))=11,SUBSTITUTE(SUBSTITUTE(SUBSTITUTE(SUBSTITUTE(C25,".",""),"-","")," ",""),"/","")&lt;&gt;REPT(LEFT(SUBSTITUTE(SUBSTITUTE(SUBSTITUTE(SUBSTITUTE(C25,".",""),"-","")," ",""),"/",""),1),11),VALUE(MID(SUBSTITUTE(SUBSTITUTE(SUBSTITUTE(SUBSTITUTE(C25,".",""),"-","")," ",""),"/",""),10,1))=IF(MOD(SUMPRODUCT(--MID(SUBSTITUTE(SUBSTITUTE(SUBSTITUTE(SUBSTITUTE(C25,".",""),"-","")," ",""),"/",""),{1,2,3,4,5,6,7,8,9},1),{10,9,8,7,6,5,4,3,2}),11)&lt;2,0,11-MOD(SUMPRODUCT(--MID(SUBSTITUTE(SUBSTITUTE(SUBSTITUTE(SUBSTITUTE(C25,".",""),"-","")," ",""),"/",""),{1,2,3,4,5,6,7,8,9},1),{10,9,8,7,6,5,4,3,2}),11)),VALUE(MID(SUBSTITUTE(SUBSTITUTE(SUBSTITUTE(SUBSTITUTE(C25,".",""),"-","")," ",""),"/",""),11,1))=IF(MOD(SUMPRODUCT(--MID(SUBSTITUTE(SUBSTITUTE(SUBSTITUTE(SUBSTITUTE(C25,".",""),"-","")," ",""),"/",""),{1,2,3,4,5,6,7,8,9,10},1),{11,10,9,8,7,6,5,4,3,2}),11)&lt;2,0,11-MOD(SUMPRODUCT(--MID(SUBSTITUTE(SUBSTITUTE(SUBSTITUTE(SUBSTITUTE(C25,".",""),"-","")," ",""),"/",""),{1,2,3,4,5,6,7,8,9,10},1),{11,10,9,8,7,6,5,4,3,2}),11))),FALSE()),AND(LEN(SUBSTITUTE(SUBSTITUTE(SUBSTITUTE(SUBSTITUTE(C25,".",""),"-","")," ",""),"/",""))=14,ISNUMBER(VALUE(SUBSTITUTE(SUBSTITUTE(SUBSTITUTE(SUBSTITUTE(C25,".",""),"-","")," ",""),"/",""))))),FALSE())),G25&gt;F25),"Revisar",IF(I25&lt;&gt;"Sim","Falta informe","OK")))</f>
        <v/>
      </c>
    </row>
    <row r="26" customFormat="false" ht="15" hidden="false" customHeight="false" outlineLevel="0" collapsed="false">
      <c r="A26" s="19"/>
      <c r="B26" s="18"/>
      <c r="C26" s="18"/>
      <c r="D26" s="18"/>
      <c r="E26" s="21" t="str">
        <f aca="false">IF(D26="","",IFERROR(VLOOKUP(D26,Listas!$A$5:$B$16,2,FALSE()),""))</f>
        <v/>
      </c>
      <c r="F26" s="22"/>
      <c r="G26" s="22"/>
      <c r="H26" s="22"/>
      <c r="I26" s="23"/>
      <c r="J26" s="18"/>
      <c r="K26" s="20" t="str">
        <f aca="false">IF(AND(A26="",B26="",D26="",F26=""),"",IF(OR(A26="",B26="",D26="",F26="",NOT(IFERROR(OR(IFERROR(AND(LEN(SUBSTITUTE(SUBSTITUTE(SUBSTITUTE(SUBSTITUTE(C26,".",""),"-","")," ",""),"/",""))=11,SUBSTITUTE(SUBSTITUTE(SUBSTITUTE(SUBSTITUTE(C26,".",""),"-","")," ",""),"/","")&lt;&gt;REPT(LEFT(SUBSTITUTE(SUBSTITUTE(SUBSTITUTE(SUBSTITUTE(C26,".",""),"-","")," ",""),"/",""),1),11),VALUE(MID(SUBSTITUTE(SUBSTITUTE(SUBSTITUTE(SUBSTITUTE(C26,".",""),"-","")," ",""),"/",""),10,1))=IF(MOD(SUMPRODUCT(--MID(SUBSTITUTE(SUBSTITUTE(SUBSTITUTE(SUBSTITUTE(C26,".",""),"-","")," ",""),"/",""),{1,2,3,4,5,6,7,8,9},1),{10,9,8,7,6,5,4,3,2}),11)&lt;2,0,11-MOD(SUMPRODUCT(--MID(SUBSTITUTE(SUBSTITUTE(SUBSTITUTE(SUBSTITUTE(C26,".",""),"-","")," ",""),"/",""),{1,2,3,4,5,6,7,8,9},1),{10,9,8,7,6,5,4,3,2}),11)),VALUE(MID(SUBSTITUTE(SUBSTITUTE(SUBSTITUTE(SUBSTITUTE(C26,".",""),"-","")," ",""),"/",""),11,1))=IF(MOD(SUMPRODUCT(--MID(SUBSTITUTE(SUBSTITUTE(SUBSTITUTE(SUBSTITUTE(C26,".",""),"-","")," ",""),"/",""),{1,2,3,4,5,6,7,8,9,10},1),{11,10,9,8,7,6,5,4,3,2}),11)&lt;2,0,11-MOD(SUMPRODUCT(--MID(SUBSTITUTE(SUBSTITUTE(SUBSTITUTE(SUBSTITUTE(C26,".",""),"-","")," ",""),"/",""),{1,2,3,4,5,6,7,8,9,10},1),{11,10,9,8,7,6,5,4,3,2}),11))),FALSE()),AND(LEN(SUBSTITUTE(SUBSTITUTE(SUBSTITUTE(SUBSTITUTE(C26,".",""),"-","")," ",""),"/",""))=14,ISNUMBER(VALUE(SUBSTITUTE(SUBSTITUTE(SUBSTITUTE(SUBSTITUTE(C26,".",""),"-","")," ",""),"/",""))))),FALSE())),G26&gt;F26),"Revisar",IF(I26&lt;&gt;"Sim","Falta informe","OK")))</f>
        <v/>
      </c>
    </row>
    <row r="27" customFormat="false" ht="15" hidden="false" customHeight="false" outlineLevel="0" collapsed="false">
      <c r="A27" s="19"/>
      <c r="B27" s="18"/>
      <c r="C27" s="18"/>
      <c r="D27" s="18"/>
      <c r="E27" s="21" t="str">
        <f aca="false">IF(D27="","",IFERROR(VLOOKUP(D27,Listas!$A$5:$B$16,2,FALSE()),""))</f>
        <v/>
      </c>
      <c r="F27" s="22"/>
      <c r="G27" s="22"/>
      <c r="H27" s="22"/>
      <c r="I27" s="23"/>
      <c r="J27" s="18"/>
      <c r="K27" s="20" t="str">
        <f aca="false">IF(AND(A27="",B27="",D27="",F27=""),"",IF(OR(A27="",B27="",D27="",F27="",NOT(IFERROR(OR(IFERROR(AND(LEN(SUBSTITUTE(SUBSTITUTE(SUBSTITUTE(SUBSTITUTE(C27,".",""),"-","")," ",""),"/",""))=11,SUBSTITUTE(SUBSTITUTE(SUBSTITUTE(SUBSTITUTE(C27,".",""),"-","")," ",""),"/","")&lt;&gt;REPT(LEFT(SUBSTITUTE(SUBSTITUTE(SUBSTITUTE(SUBSTITUTE(C27,".",""),"-","")," ",""),"/",""),1),11),VALUE(MID(SUBSTITUTE(SUBSTITUTE(SUBSTITUTE(SUBSTITUTE(C27,".",""),"-","")," ",""),"/",""),10,1))=IF(MOD(SUMPRODUCT(--MID(SUBSTITUTE(SUBSTITUTE(SUBSTITUTE(SUBSTITUTE(C27,".",""),"-","")," ",""),"/",""),{1,2,3,4,5,6,7,8,9},1),{10,9,8,7,6,5,4,3,2}),11)&lt;2,0,11-MOD(SUMPRODUCT(--MID(SUBSTITUTE(SUBSTITUTE(SUBSTITUTE(SUBSTITUTE(C27,".",""),"-","")," ",""),"/",""),{1,2,3,4,5,6,7,8,9},1),{10,9,8,7,6,5,4,3,2}),11)),VALUE(MID(SUBSTITUTE(SUBSTITUTE(SUBSTITUTE(SUBSTITUTE(C27,".",""),"-","")," ",""),"/",""),11,1))=IF(MOD(SUMPRODUCT(--MID(SUBSTITUTE(SUBSTITUTE(SUBSTITUTE(SUBSTITUTE(C27,".",""),"-","")," ",""),"/",""),{1,2,3,4,5,6,7,8,9,10},1),{11,10,9,8,7,6,5,4,3,2}),11)&lt;2,0,11-MOD(SUMPRODUCT(--MID(SUBSTITUTE(SUBSTITUTE(SUBSTITUTE(SUBSTITUTE(C27,".",""),"-","")," ",""),"/",""),{1,2,3,4,5,6,7,8,9,10},1),{11,10,9,8,7,6,5,4,3,2}),11))),FALSE()),AND(LEN(SUBSTITUTE(SUBSTITUTE(SUBSTITUTE(SUBSTITUTE(C27,".",""),"-","")," ",""),"/",""))=14,ISNUMBER(VALUE(SUBSTITUTE(SUBSTITUTE(SUBSTITUTE(SUBSTITUTE(C27,".",""),"-","")," ",""),"/",""))))),FALSE())),G27&gt;F27),"Revisar",IF(I27&lt;&gt;"Sim","Falta informe","OK")))</f>
        <v/>
      </c>
    </row>
    <row r="28" customFormat="false" ht="15" hidden="false" customHeight="false" outlineLevel="0" collapsed="false">
      <c r="A28" s="19"/>
      <c r="B28" s="18"/>
      <c r="C28" s="18"/>
      <c r="D28" s="18"/>
      <c r="E28" s="21" t="str">
        <f aca="false">IF(D28="","",IFERROR(VLOOKUP(D28,Listas!$A$5:$B$16,2,FALSE()),""))</f>
        <v/>
      </c>
      <c r="F28" s="22"/>
      <c r="G28" s="22"/>
      <c r="H28" s="22"/>
      <c r="I28" s="23"/>
      <c r="J28" s="18"/>
      <c r="K28" s="20" t="str">
        <f aca="false">IF(AND(A28="",B28="",D28="",F28=""),"",IF(OR(A28="",B28="",D28="",F28="",NOT(IFERROR(OR(IFERROR(AND(LEN(SUBSTITUTE(SUBSTITUTE(SUBSTITUTE(SUBSTITUTE(C28,".",""),"-","")," ",""),"/",""))=11,SUBSTITUTE(SUBSTITUTE(SUBSTITUTE(SUBSTITUTE(C28,".",""),"-","")," ",""),"/","")&lt;&gt;REPT(LEFT(SUBSTITUTE(SUBSTITUTE(SUBSTITUTE(SUBSTITUTE(C28,".",""),"-","")," ",""),"/",""),1),11),VALUE(MID(SUBSTITUTE(SUBSTITUTE(SUBSTITUTE(SUBSTITUTE(C28,".",""),"-","")," ",""),"/",""),10,1))=IF(MOD(SUMPRODUCT(--MID(SUBSTITUTE(SUBSTITUTE(SUBSTITUTE(SUBSTITUTE(C28,".",""),"-","")," ",""),"/",""),{1,2,3,4,5,6,7,8,9},1),{10,9,8,7,6,5,4,3,2}),11)&lt;2,0,11-MOD(SUMPRODUCT(--MID(SUBSTITUTE(SUBSTITUTE(SUBSTITUTE(SUBSTITUTE(C28,".",""),"-","")," ",""),"/",""),{1,2,3,4,5,6,7,8,9},1),{10,9,8,7,6,5,4,3,2}),11)),VALUE(MID(SUBSTITUTE(SUBSTITUTE(SUBSTITUTE(SUBSTITUTE(C28,".",""),"-","")," ",""),"/",""),11,1))=IF(MOD(SUMPRODUCT(--MID(SUBSTITUTE(SUBSTITUTE(SUBSTITUTE(SUBSTITUTE(C28,".",""),"-","")," ",""),"/",""),{1,2,3,4,5,6,7,8,9,10},1),{11,10,9,8,7,6,5,4,3,2}),11)&lt;2,0,11-MOD(SUMPRODUCT(--MID(SUBSTITUTE(SUBSTITUTE(SUBSTITUTE(SUBSTITUTE(C28,".",""),"-","")," ",""),"/",""),{1,2,3,4,5,6,7,8,9,10},1),{11,10,9,8,7,6,5,4,3,2}),11))),FALSE()),AND(LEN(SUBSTITUTE(SUBSTITUTE(SUBSTITUTE(SUBSTITUTE(C28,".",""),"-","")," ",""),"/",""))=14,ISNUMBER(VALUE(SUBSTITUTE(SUBSTITUTE(SUBSTITUTE(SUBSTITUTE(C28,".",""),"-","")," ",""),"/",""))))),FALSE())),G28&gt;F28),"Revisar",IF(I28&lt;&gt;"Sim","Falta informe","OK")))</f>
        <v/>
      </c>
    </row>
    <row r="29" customFormat="false" ht="15" hidden="false" customHeight="false" outlineLevel="0" collapsed="false">
      <c r="A29" s="19"/>
      <c r="B29" s="18"/>
      <c r="C29" s="18"/>
      <c r="D29" s="18"/>
      <c r="E29" s="21" t="str">
        <f aca="false">IF(D29="","",IFERROR(VLOOKUP(D29,Listas!$A$5:$B$16,2,FALSE()),""))</f>
        <v/>
      </c>
      <c r="F29" s="22"/>
      <c r="G29" s="22"/>
      <c r="H29" s="22"/>
      <c r="I29" s="23"/>
      <c r="J29" s="18"/>
      <c r="K29" s="20" t="str">
        <f aca="false">IF(AND(A29="",B29="",D29="",F29=""),"",IF(OR(A29="",B29="",D29="",F29="",NOT(IFERROR(OR(IFERROR(AND(LEN(SUBSTITUTE(SUBSTITUTE(SUBSTITUTE(SUBSTITUTE(C29,".",""),"-","")," ",""),"/",""))=11,SUBSTITUTE(SUBSTITUTE(SUBSTITUTE(SUBSTITUTE(C29,".",""),"-","")," ",""),"/","")&lt;&gt;REPT(LEFT(SUBSTITUTE(SUBSTITUTE(SUBSTITUTE(SUBSTITUTE(C29,".",""),"-","")," ",""),"/",""),1),11),VALUE(MID(SUBSTITUTE(SUBSTITUTE(SUBSTITUTE(SUBSTITUTE(C29,".",""),"-","")," ",""),"/",""),10,1))=IF(MOD(SUMPRODUCT(--MID(SUBSTITUTE(SUBSTITUTE(SUBSTITUTE(SUBSTITUTE(C29,".",""),"-","")," ",""),"/",""),{1,2,3,4,5,6,7,8,9},1),{10,9,8,7,6,5,4,3,2}),11)&lt;2,0,11-MOD(SUMPRODUCT(--MID(SUBSTITUTE(SUBSTITUTE(SUBSTITUTE(SUBSTITUTE(C29,".",""),"-","")," ",""),"/",""),{1,2,3,4,5,6,7,8,9},1),{10,9,8,7,6,5,4,3,2}),11)),VALUE(MID(SUBSTITUTE(SUBSTITUTE(SUBSTITUTE(SUBSTITUTE(C29,".",""),"-","")," ",""),"/",""),11,1))=IF(MOD(SUMPRODUCT(--MID(SUBSTITUTE(SUBSTITUTE(SUBSTITUTE(SUBSTITUTE(C29,".",""),"-","")," ",""),"/",""),{1,2,3,4,5,6,7,8,9,10},1),{11,10,9,8,7,6,5,4,3,2}),11)&lt;2,0,11-MOD(SUMPRODUCT(--MID(SUBSTITUTE(SUBSTITUTE(SUBSTITUTE(SUBSTITUTE(C29,".",""),"-","")," ",""),"/",""),{1,2,3,4,5,6,7,8,9,10},1),{11,10,9,8,7,6,5,4,3,2}),11))),FALSE()),AND(LEN(SUBSTITUTE(SUBSTITUTE(SUBSTITUTE(SUBSTITUTE(C29,".",""),"-","")," ",""),"/",""))=14,ISNUMBER(VALUE(SUBSTITUTE(SUBSTITUTE(SUBSTITUTE(SUBSTITUTE(C29,".",""),"-","")," ",""),"/",""))))),FALSE())),G29&gt;F29),"Revisar",IF(I29&lt;&gt;"Sim","Falta informe","OK")))</f>
        <v/>
      </c>
    </row>
    <row r="30" customFormat="false" ht="15" hidden="false" customHeight="false" outlineLevel="0" collapsed="false">
      <c r="A30" s="19"/>
      <c r="B30" s="18"/>
      <c r="C30" s="18"/>
      <c r="D30" s="18"/>
      <c r="E30" s="21" t="str">
        <f aca="false">IF(D30="","",IFERROR(VLOOKUP(D30,Listas!$A$5:$B$16,2,FALSE()),""))</f>
        <v/>
      </c>
      <c r="F30" s="22"/>
      <c r="G30" s="22"/>
      <c r="H30" s="22"/>
      <c r="I30" s="23"/>
      <c r="J30" s="18"/>
      <c r="K30" s="20" t="str">
        <f aca="false">IF(AND(A30="",B30="",D30="",F30=""),"",IF(OR(A30="",B30="",D30="",F30="",NOT(IFERROR(OR(IFERROR(AND(LEN(SUBSTITUTE(SUBSTITUTE(SUBSTITUTE(SUBSTITUTE(C30,".",""),"-","")," ",""),"/",""))=11,SUBSTITUTE(SUBSTITUTE(SUBSTITUTE(SUBSTITUTE(C30,".",""),"-","")," ",""),"/","")&lt;&gt;REPT(LEFT(SUBSTITUTE(SUBSTITUTE(SUBSTITUTE(SUBSTITUTE(C30,".",""),"-","")," ",""),"/",""),1),11),VALUE(MID(SUBSTITUTE(SUBSTITUTE(SUBSTITUTE(SUBSTITUTE(C30,".",""),"-","")," ",""),"/",""),10,1))=IF(MOD(SUMPRODUCT(--MID(SUBSTITUTE(SUBSTITUTE(SUBSTITUTE(SUBSTITUTE(C30,".",""),"-","")," ",""),"/",""),{1,2,3,4,5,6,7,8,9},1),{10,9,8,7,6,5,4,3,2}),11)&lt;2,0,11-MOD(SUMPRODUCT(--MID(SUBSTITUTE(SUBSTITUTE(SUBSTITUTE(SUBSTITUTE(C30,".",""),"-","")," ",""),"/",""),{1,2,3,4,5,6,7,8,9},1),{10,9,8,7,6,5,4,3,2}),11)),VALUE(MID(SUBSTITUTE(SUBSTITUTE(SUBSTITUTE(SUBSTITUTE(C30,".",""),"-","")," ",""),"/",""),11,1))=IF(MOD(SUMPRODUCT(--MID(SUBSTITUTE(SUBSTITUTE(SUBSTITUTE(SUBSTITUTE(C30,".",""),"-","")," ",""),"/",""),{1,2,3,4,5,6,7,8,9,10},1),{11,10,9,8,7,6,5,4,3,2}),11)&lt;2,0,11-MOD(SUMPRODUCT(--MID(SUBSTITUTE(SUBSTITUTE(SUBSTITUTE(SUBSTITUTE(C30,".",""),"-","")," ",""),"/",""),{1,2,3,4,5,6,7,8,9,10},1),{11,10,9,8,7,6,5,4,3,2}),11))),FALSE()),AND(LEN(SUBSTITUTE(SUBSTITUTE(SUBSTITUTE(SUBSTITUTE(C30,".",""),"-","")," ",""),"/",""))=14,ISNUMBER(VALUE(SUBSTITUTE(SUBSTITUTE(SUBSTITUTE(SUBSTITUTE(C30,".",""),"-","")," ",""),"/",""))))),FALSE())),G30&gt;F30),"Revisar",IF(I30&lt;&gt;"Sim","Falta informe","OK")))</f>
        <v/>
      </c>
    </row>
    <row r="31" customFormat="false" ht="15" hidden="false" customHeight="false" outlineLevel="0" collapsed="false">
      <c r="A31" s="19"/>
      <c r="B31" s="18"/>
      <c r="C31" s="18"/>
      <c r="D31" s="18"/>
      <c r="E31" s="21" t="str">
        <f aca="false">IF(D31="","",IFERROR(VLOOKUP(D31,Listas!$A$5:$B$16,2,FALSE()),""))</f>
        <v/>
      </c>
      <c r="F31" s="22"/>
      <c r="G31" s="22"/>
      <c r="H31" s="22"/>
      <c r="I31" s="23"/>
      <c r="J31" s="18"/>
      <c r="K31" s="20" t="str">
        <f aca="false">IF(AND(A31="",B31="",D31="",F31=""),"",IF(OR(A31="",B31="",D31="",F31="",NOT(IFERROR(OR(IFERROR(AND(LEN(SUBSTITUTE(SUBSTITUTE(SUBSTITUTE(SUBSTITUTE(C31,".",""),"-","")," ",""),"/",""))=11,SUBSTITUTE(SUBSTITUTE(SUBSTITUTE(SUBSTITUTE(C31,".",""),"-","")," ",""),"/","")&lt;&gt;REPT(LEFT(SUBSTITUTE(SUBSTITUTE(SUBSTITUTE(SUBSTITUTE(C31,".",""),"-","")," ",""),"/",""),1),11),VALUE(MID(SUBSTITUTE(SUBSTITUTE(SUBSTITUTE(SUBSTITUTE(C31,".",""),"-","")," ",""),"/",""),10,1))=IF(MOD(SUMPRODUCT(--MID(SUBSTITUTE(SUBSTITUTE(SUBSTITUTE(SUBSTITUTE(C31,".",""),"-","")," ",""),"/",""),{1,2,3,4,5,6,7,8,9},1),{10,9,8,7,6,5,4,3,2}),11)&lt;2,0,11-MOD(SUMPRODUCT(--MID(SUBSTITUTE(SUBSTITUTE(SUBSTITUTE(SUBSTITUTE(C31,".",""),"-","")," ",""),"/",""),{1,2,3,4,5,6,7,8,9},1),{10,9,8,7,6,5,4,3,2}),11)),VALUE(MID(SUBSTITUTE(SUBSTITUTE(SUBSTITUTE(SUBSTITUTE(C31,".",""),"-","")," ",""),"/",""),11,1))=IF(MOD(SUMPRODUCT(--MID(SUBSTITUTE(SUBSTITUTE(SUBSTITUTE(SUBSTITUTE(C31,".",""),"-","")," ",""),"/",""),{1,2,3,4,5,6,7,8,9,10},1),{11,10,9,8,7,6,5,4,3,2}),11)&lt;2,0,11-MOD(SUMPRODUCT(--MID(SUBSTITUTE(SUBSTITUTE(SUBSTITUTE(SUBSTITUTE(C31,".",""),"-","")," ",""),"/",""),{1,2,3,4,5,6,7,8,9,10},1),{11,10,9,8,7,6,5,4,3,2}),11))),FALSE()),AND(LEN(SUBSTITUTE(SUBSTITUTE(SUBSTITUTE(SUBSTITUTE(C31,".",""),"-","")," ",""),"/",""))=14,ISNUMBER(VALUE(SUBSTITUTE(SUBSTITUTE(SUBSTITUTE(SUBSTITUTE(C31,".",""),"-","")," ",""),"/",""))))),FALSE())),G31&gt;F31),"Revisar",IF(I31&lt;&gt;"Sim","Falta informe","OK")))</f>
        <v/>
      </c>
    </row>
    <row r="32" customFormat="false" ht="15" hidden="false" customHeight="false" outlineLevel="0" collapsed="false">
      <c r="A32" s="19"/>
      <c r="B32" s="18"/>
      <c r="C32" s="18"/>
      <c r="D32" s="18"/>
      <c r="E32" s="21" t="str">
        <f aca="false">IF(D32="","",IFERROR(VLOOKUP(D32,Listas!$A$5:$B$16,2,FALSE()),""))</f>
        <v/>
      </c>
      <c r="F32" s="22"/>
      <c r="G32" s="22"/>
      <c r="H32" s="22"/>
      <c r="I32" s="23"/>
      <c r="J32" s="18"/>
      <c r="K32" s="20" t="str">
        <f aca="false">IF(AND(A32="",B32="",D32="",F32=""),"",IF(OR(A32="",B32="",D32="",F32="",NOT(IFERROR(OR(IFERROR(AND(LEN(SUBSTITUTE(SUBSTITUTE(SUBSTITUTE(SUBSTITUTE(C32,".",""),"-","")," ",""),"/",""))=11,SUBSTITUTE(SUBSTITUTE(SUBSTITUTE(SUBSTITUTE(C32,".",""),"-","")," ",""),"/","")&lt;&gt;REPT(LEFT(SUBSTITUTE(SUBSTITUTE(SUBSTITUTE(SUBSTITUTE(C32,".",""),"-","")," ",""),"/",""),1),11),VALUE(MID(SUBSTITUTE(SUBSTITUTE(SUBSTITUTE(SUBSTITUTE(C32,".",""),"-","")," ",""),"/",""),10,1))=IF(MOD(SUMPRODUCT(--MID(SUBSTITUTE(SUBSTITUTE(SUBSTITUTE(SUBSTITUTE(C32,".",""),"-","")," ",""),"/",""),{1,2,3,4,5,6,7,8,9},1),{10,9,8,7,6,5,4,3,2}),11)&lt;2,0,11-MOD(SUMPRODUCT(--MID(SUBSTITUTE(SUBSTITUTE(SUBSTITUTE(SUBSTITUTE(C32,".",""),"-","")," ",""),"/",""),{1,2,3,4,5,6,7,8,9},1),{10,9,8,7,6,5,4,3,2}),11)),VALUE(MID(SUBSTITUTE(SUBSTITUTE(SUBSTITUTE(SUBSTITUTE(C32,".",""),"-","")," ",""),"/",""),11,1))=IF(MOD(SUMPRODUCT(--MID(SUBSTITUTE(SUBSTITUTE(SUBSTITUTE(SUBSTITUTE(C32,".",""),"-","")," ",""),"/",""),{1,2,3,4,5,6,7,8,9,10},1),{11,10,9,8,7,6,5,4,3,2}),11)&lt;2,0,11-MOD(SUMPRODUCT(--MID(SUBSTITUTE(SUBSTITUTE(SUBSTITUTE(SUBSTITUTE(C32,".",""),"-","")," ",""),"/",""),{1,2,3,4,5,6,7,8,9,10},1),{11,10,9,8,7,6,5,4,3,2}),11))),FALSE()),AND(LEN(SUBSTITUTE(SUBSTITUTE(SUBSTITUTE(SUBSTITUTE(C32,".",""),"-","")," ",""),"/",""))=14,ISNUMBER(VALUE(SUBSTITUTE(SUBSTITUTE(SUBSTITUTE(SUBSTITUTE(C32,".",""),"-","")," ",""),"/",""))))),FALSE())),G32&gt;F32),"Revisar",IF(I32&lt;&gt;"Sim","Falta informe","OK")))</f>
        <v/>
      </c>
    </row>
    <row r="33" customFormat="false" ht="15" hidden="false" customHeight="false" outlineLevel="0" collapsed="false">
      <c r="A33" s="19"/>
      <c r="B33" s="18"/>
      <c r="C33" s="18"/>
      <c r="D33" s="18"/>
      <c r="E33" s="21" t="str">
        <f aca="false">IF(D33="","",IFERROR(VLOOKUP(D33,Listas!$A$5:$B$16,2,FALSE()),""))</f>
        <v/>
      </c>
      <c r="F33" s="22"/>
      <c r="G33" s="22"/>
      <c r="H33" s="22"/>
      <c r="I33" s="23"/>
      <c r="J33" s="18"/>
      <c r="K33" s="20" t="str">
        <f aca="false">IF(AND(A33="",B33="",D33="",F33=""),"",IF(OR(A33="",B33="",D33="",F33="",NOT(IFERROR(OR(IFERROR(AND(LEN(SUBSTITUTE(SUBSTITUTE(SUBSTITUTE(SUBSTITUTE(C33,".",""),"-","")," ",""),"/",""))=11,SUBSTITUTE(SUBSTITUTE(SUBSTITUTE(SUBSTITUTE(C33,".",""),"-","")," ",""),"/","")&lt;&gt;REPT(LEFT(SUBSTITUTE(SUBSTITUTE(SUBSTITUTE(SUBSTITUTE(C33,".",""),"-","")," ",""),"/",""),1),11),VALUE(MID(SUBSTITUTE(SUBSTITUTE(SUBSTITUTE(SUBSTITUTE(C33,".",""),"-","")," ",""),"/",""),10,1))=IF(MOD(SUMPRODUCT(--MID(SUBSTITUTE(SUBSTITUTE(SUBSTITUTE(SUBSTITUTE(C33,".",""),"-","")," ",""),"/",""),{1,2,3,4,5,6,7,8,9},1),{10,9,8,7,6,5,4,3,2}),11)&lt;2,0,11-MOD(SUMPRODUCT(--MID(SUBSTITUTE(SUBSTITUTE(SUBSTITUTE(SUBSTITUTE(C33,".",""),"-","")," ",""),"/",""),{1,2,3,4,5,6,7,8,9},1),{10,9,8,7,6,5,4,3,2}),11)),VALUE(MID(SUBSTITUTE(SUBSTITUTE(SUBSTITUTE(SUBSTITUTE(C33,".",""),"-","")," ",""),"/",""),11,1))=IF(MOD(SUMPRODUCT(--MID(SUBSTITUTE(SUBSTITUTE(SUBSTITUTE(SUBSTITUTE(C33,".",""),"-","")," ",""),"/",""),{1,2,3,4,5,6,7,8,9,10},1),{11,10,9,8,7,6,5,4,3,2}),11)&lt;2,0,11-MOD(SUMPRODUCT(--MID(SUBSTITUTE(SUBSTITUTE(SUBSTITUTE(SUBSTITUTE(C33,".",""),"-","")," ",""),"/",""),{1,2,3,4,5,6,7,8,9,10},1),{11,10,9,8,7,6,5,4,3,2}),11))),FALSE()),AND(LEN(SUBSTITUTE(SUBSTITUTE(SUBSTITUTE(SUBSTITUTE(C33,".",""),"-","")," ",""),"/",""))=14,ISNUMBER(VALUE(SUBSTITUTE(SUBSTITUTE(SUBSTITUTE(SUBSTITUTE(C33,".",""),"-","")," ",""),"/",""))))),FALSE())),G33&gt;F33),"Revisar",IF(I33&lt;&gt;"Sim","Falta informe","OK")))</f>
        <v/>
      </c>
    </row>
    <row r="34" customFormat="false" ht="15" hidden="false" customHeight="false" outlineLevel="0" collapsed="false">
      <c r="A34" s="19"/>
      <c r="B34" s="18"/>
      <c r="C34" s="18"/>
      <c r="D34" s="18"/>
      <c r="E34" s="21" t="str">
        <f aca="false">IF(D34="","",IFERROR(VLOOKUP(D34,Listas!$A$5:$B$16,2,FALSE()),""))</f>
        <v/>
      </c>
      <c r="F34" s="22"/>
      <c r="G34" s="22"/>
      <c r="H34" s="22"/>
      <c r="I34" s="23"/>
      <c r="J34" s="18"/>
      <c r="K34" s="20" t="str">
        <f aca="false">IF(AND(A34="",B34="",D34="",F34=""),"",IF(OR(A34="",B34="",D34="",F34="",NOT(IFERROR(OR(IFERROR(AND(LEN(SUBSTITUTE(SUBSTITUTE(SUBSTITUTE(SUBSTITUTE(C34,".",""),"-","")," ",""),"/",""))=11,SUBSTITUTE(SUBSTITUTE(SUBSTITUTE(SUBSTITUTE(C34,".",""),"-","")," ",""),"/","")&lt;&gt;REPT(LEFT(SUBSTITUTE(SUBSTITUTE(SUBSTITUTE(SUBSTITUTE(C34,".",""),"-","")," ",""),"/",""),1),11),VALUE(MID(SUBSTITUTE(SUBSTITUTE(SUBSTITUTE(SUBSTITUTE(C34,".",""),"-","")," ",""),"/",""),10,1))=IF(MOD(SUMPRODUCT(--MID(SUBSTITUTE(SUBSTITUTE(SUBSTITUTE(SUBSTITUTE(C34,".",""),"-","")," ",""),"/",""),{1,2,3,4,5,6,7,8,9},1),{10,9,8,7,6,5,4,3,2}),11)&lt;2,0,11-MOD(SUMPRODUCT(--MID(SUBSTITUTE(SUBSTITUTE(SUBSTITUTE(SUBSTITUTE(C34,".",""),"-","")," ",""),"/",""),{1,2,3,4,5,6,7,8,9},1),{10,9,8,7,6,5,4,3,2}),11)),VALUE(MID(SUBSTITUTE(SUBSTITUTE(SUBSTITUTE(SUBSTITUTE(C34,".",""),"-","")," ",""),"/",""),11,1))=IF(MOD(SUMPRODUCT(--MID(SUBSTITUTE(SUBSTITUTE(SUBSTITUTE(SUBSTITUTE(C34,".",""),"-","")," ",""),"/",""),{1,2,3,4,5,6,7,8,9,10},1),{11,10,9,8,7,6,5,4,3,2}),11)&lt;2,0,11-MOD(SUMPRODUCT(--MID(SUBSTITUTE(SUBSTITUTE(SUBSTITUTE(SUBSTITUTE(C34,".",""),"-","")," ",""),"/",""),{1,2,3,4,5,6,7,8,9,10},1),{11,10,9,8,7,6,5,4,3,2}),11))),FALSE()),AND(LEN(SUBSTITUTE(SUBSTITUTE(SUBSTITUTE(SUBSTITUTE(C34,".",""),"-","")," ",""),"/",""))=14,ISNUMBER(VALUE(SUBSTITUTE(SUBSTITUTE(SUBSTITUTE(SUBSTITUTE(C34,".",""),"-","")," ",""),"/",""))))),FALSE())),G34&gt;F34),"Revisar",IF(I34&lt;&gt;"Sim","Falta informe","OK")))</f>
        <v/>
      </c>
    </row>
    <row r="35" customFormat="false" ht="15" hidden="false" customHeight="false" outlineLevel="0" collapsed="false">
      <c r="A35" s="19"/>
      <c r="B35" s="18"/>
      <c r="C35" s="18"/>
      <c r="D35" s="18"/>
      <c r="E35" s="21" t="str">
        <f aca="false">IF(D35="","",IFERROR(VLOOKUP(D35,Listas!$A$5:$B$16,2,FALSE()),""))</f>
        <v/>
      </c>
      <c r="F35" s="22"/>
      <c r="G35" s="22"/>
      <c r="H35" s="22"/>
      <c r="I35" s="23"/>
      <c r="J35" s="18"/>
      <c r="K35" s="20" t="str">
        <f aca="false">IF(AND(A35="",B35="",D35="",F35=""),"",IF(OR(A35="",B35="",D35="",F35="",NOT(IFERROR(OR(IFERROR(AND(LEN(SUBSTITUTE(SUBSTITUTE(SUBSTITUTE(SUBSTITUTE(C35,".",""),"-","")," ",""),"/",""))=11,SUBSTITUTE(SUBSTITUTE(SUBSTITUTE(SUBSTITUTE(C35,".",""),"-","")," ",""),"/","")&lt;&gt;REPT(LEFT(SUBSTITUTE(SUBSTITUTE(SUBSTITUTE(SUBSTITUTE(C35,".",""),"-","")," ",""),"/",""),1),11),VALUE(MID(SUBSTITUTE(SUBSTITUTE(SUBSTITUTE(SUBSTITUTE(C35,".",""),"-","")," ",""),"/",""),10,1))=IF(MOD(SUMPRODUCT(--MID(SUBSTITUTE(SUBSTITUTE(SUBSTITUTE(SUBSTITUTE(C35,".",""),"-","")," ",""),"/",""),{1,2,3,4,5,6,7,8,9},1),{10,9,8,7,6,5,4,3,2}),11)&lt;2,0,11-MOD(SUMPRODUCT(--MID(SUBSTITUTE(SUBSTITUTE(SUBSTITUTE(SUBSTITUTE(C35,".",""),"-","")," ",""),"/",""),{1,2,3,4,5,6,7,8,9},1),{10,9,8,7,6,5,4,3,2}),11)),VALUE(MID(SUBSTITUTE(SUBSTITUTE(SUBSTITUTE(SUBSTITUTE(C35,".",""),"-","")," ",""),"/",""),11,1))=IF(MOD(SUMPRODUCT(--MID(SUBSTITUTE(SUBSTITUTE(SUBSTITUTE(SUBSTITUTE(C35,".",""),"-","")," ",""),"/",""),{1,2,3,4,5,6,7,8,9,10},1),{11,10,9,8,7,6,5,4,3,2}),11)&lt;2,0,11-MOD(SUMPRODUCT(--MID(SUBSTITUTE(SUBSTITUTE(SUBSTITUTE(SUBSTITUTE(C35,".",""),"-","")," ",""),"/",""),{1,2,3,4,5,6,7,8,9,10},1),{11,10,9,8,7,6,5,4,3,2}),11))),FALSE()),AND(LEN(SUBSTITUTE(SUBSTITUTE(SUBSTITUTE(SUBSTITUTE(C35,".",""),"-","")," ",""),"/",""))=14,ISNUMBER(VALUE(SUBSTITUTE(SUBSTITUTE(SUBSTITUTE(SUBSTITUTE(C35,".",""),"-","")," ",""),"/",""))))),FALSE())),G35&gt;F35),"Revisar",IF(I35&lt;&gt;"Sim","Falta informe","OK")))</f>
        <v/>
      </c>
    </row>
    <row r="36" customFormat="false" ht="15" hidden="false" customHeight="false" outlineLevel="0" collapsed="false">
      <c r="A36" s="19"/>
      <c r="B36" s="18"/>
      <c r="C36" s="18"/>
      <c r="D36" s="18"/>
      <c r="E36" s="21" t="str">
        <f aca="false">IF(D36="","",IFERROR(VLOOKUP(D36,Listas!$A$5:$B$16,2,FALSE()),""))</f>
        <v/>
      </c>
      <c r="F36" s="22"/>
      <c r="G36" s="22"/>
      <c r="H36" s="22"/>
      <c r="I36" s="23"/>
      <c r="J36" s="18"/>
      <c r="K36" s="20" t="str">
        <f aca="false">IF(AND(A36="",B36="",D36="",F36=""),"",IF(OR(A36="",B36="",D36="",F36="",NOT(IFERROR(OR(IFERROR(AND(LEN(SUBSTITUTE(SUBSTITUTE(SUBSTITUTE(SUBSTITUTE(C36,".",""),"-","")," ",""),"/",""))=11,SUBSTITUTE(SUBSTITUTE(SUBSTITUTE(SUBSTITUTE(C36,".",""),"-","")," ",""),"/","")&lt;&gt;REPT(LEFT(SUBSTITUTE(SUBSTITUTE(SUBSTITUTE(SUBSTITUTE(C36,".",""),"-","")," ",""),"/",""),1),11),VALUE(MID(SUBSTITUTE(SUBSTITUTE(SUBSTITUTE(SUBSTITUTE(C36,".",""),"-","")," ",""),"/",""),10,1))=IF(MOD(SUMPRODUCT(--MID(SUBSTITUTE(SUBSTITUTE(SUBSTITUTE(SUBSTITUTE(C36,".",""),"-","")," ",""),"/",""),{1,2,3,4,5,6,7,8,9},1),{10,9,8,7,6,5,4,3,2}),11)&lt;2,0,11-MOD(SUMPRODUCT(--MID(SUBSTITUTE(SUBSTITUTE(SUBSTITUTE(SUBSTITUTE(C36,".",""),"-","")," ",""),"/",""),{1,2,3,4,5,6,7,8,9},1),{10,9,8,7,6,5,4,3,2}),11)),VALUE(MID(SUBSTITUTE(SUBSTITUTE(SUBSTITUTE(SUBSTITUTE(C36,".",""),"-","")," ",""),"/",""),11,1))=IF(MOD(SUMPRODUCT(--MID(SUBSTITUTE(SUBSTITUTE(SUBSTITUTE(SUBSTITUTE(C36,".",""),"-","")," ",""),"/",""),{1,2,3,4,5,6,7,8,9,10},1),{11,10,9,8,7,6,5,4,3,2}),11)&lt;2,0,11-MOD(SUMPRODUCT(--MID(SUBSTITUTE(SUBSTITUTE(SUBSTITUTE(SUBSTITUTE(C36,".",""),"-","")," ",""),"/",""),{1,2,3,4,5,6,7,8,9,10},1),{11,10,9,8,7,6,5,4,3,2}),11))),FALSE()),AND(LEN(SUBSTITUTE(SUBSTITUTE(SUBSTITUTE(SUBSTITUTE(C36,".",""),"-","")," ",""),"/",""))=14,ISNUMBER(VALUE(SUBSTITUTE(SUBSTITUTE(SUBSTITUTE(SUBSTITUTE(C36,".",""),"-","")," ",""),"/",""))))),FALSE())),G36&gt;F36),"Revisar",IF(I36&lt;&gt;"Sim","Falta informe","OK")))</f>
        <v/>
      </c>
    </row>
    <row r="37" customFormat="false" ht="15" hidden="false" customHeight="false" outlineLevel="0" collapsed="false">
      <c r="A37" s="19"/>
      <c r="B37" s="18"/>
      <c r="C37" s="18"/>
      <c r="D37" s="18"/>
      <c r="E37" s="21" t="str">
        <f aca="false">IF(D37="","",IFERROR(VLOOKUP(D37,Listas!$A$5:$B$16,2,FALSE()),""))</f>
        <v/>
      </c>
      <c r="F37" s="22"/>
      <c r="G37" s="22"/>
      <c r="H37" s="22"/>
      <c r="I37" s="23"/>
      <c r="J37" s="18"/>
      <c r="K37" s="20" t="str">
        <f aca="false">IF(AND(A37="",B37="",D37="",F37=""),"",IF(OR(A37="",B37="",D37="",F37="",NOT(IFERROR(OR(IFERROR(AND(LEN(SUBSTITUTE(SUBSTITUTE(SUBSTITUTE(SUBSTITUTE(C37,".",""),"-","")," ",""),"/",""))=11,SUBSTITUTE(SUBSTITUTE(SUBSTITUTE(SUBSTITUTE(C37,".",""),"-","")," ",""),"/","")&lt;&gt;REPT(LEFT(SUBSTITUTE(SUBSTITUTE(SUBSTITUTE(SUBSTITUTE(C37,".",""),"-","")," ",""),"/",""),1),11),VALUE(MID(SUBSTITUTE(SUBSTITUTE(SUBSTITUTE(SUBSTITUTE(C37,".",""),"-","")," ",""),"/",""),10,1))=IF(MOD(SUMPRODUCT(--MID(SUBSTITUTE(SUBSTITUTE(SUBSTITUTE(SUBSTITUTE(C37,".",""),"-","")," ",""),"/",""),{1,2,3,4,5,6,7,8,9},1),{10,9,8,7,6,5,4,3,2}),11)&lt;2,0,11-MOD(SUMPRODUCT(--MID(SUBSTITUTE(SUBSTITUTE(SUBSTITUTE(SUBSTITUTE(C37,".",""),"-","")," ",""),"/",""),{1,2,3,4,5,6,7,8,9},1),{10,9,8,7,6,5,4,3,2}),11)),VALUE(MID(SUBSTITUTE(SUBSTITUTE(SUBSTITUTE(SUBSTITUTE(C37,".",""),"-","")," ",""),"/",""),11,1))=IF(MOD(SUMPRODUCT(--MID(SUBSTITUTE(SUBSTITUTE(SUBSTITUTE(SUBSTITUTE(C37,".",""),"-","")," ",""),"/",""),{1,2,3,4,5,6,7,8,9,10},1),{11,10,9,8,7,6,5,4,3,2}),11)&lt;2,0,11-MOD(SUMPRODUCT(--MID(SUBSTITUTE(SUBSTITUTE(SUBSTITUTE(SUBSTITUTE(C37,".",""),"-","")," ",""),"/",""),{1,2,3,4,5,6,7,8,9,10},1),{11,10,9,8,7,6,5,4,3,2}),11))),FALSE()),AND(LEN(SUBSTITUTE(SUBSTITUTE(SUBSTITUTE(SUBSTITUTE(C37,".",""),"-","")," ",""),"/",""))=14,ISNUMBER(VALUE(SUBSTITUTE(SUBSTITUTE(SUBSTITUTE(SUBSTITUTE(C37,".",""),"-","")," ",""),"/",""))))),FALSE())),G37&gt;F37),"Revisar",IF(I37&lt;&gt;"Sim","Falta informe","OK")))</f>
        <v/>
      </c>
    </row>
    <row r="38" customFormat="false" ht="15" hidden="false" customHeight="false" outlineLevel="0" collapsed="false">
      <c r="A38" s="19"/>
      <c r="B38" s="18"/>
      <c r="C38" s="18"/>
      <c r="D38" s="18"/>
      <c r="E38" s="21" t="str">
        <f aca="false">IF(D38="","",IFERROR(VLOOKUP(D38,Listas!$A$5:$B$16,2,FALSE()),""))</f>
        <v/>
      </c>
      <c r="F38" s="22"/>
      <c r="G38" s="22"/>
      <c r="H38" s="22"/>
      <c r="I38" s="23"/>
      <c r="J38" s="18"/>
      <c r="K38" s="20" t="str">
        <f aca="false">IF(AND(A38="",B38="",D38="",F38=""),"",IF(OR(A38="",B38="",D38="",F38="",NOT(IFERROR(OR(IFERROR(AND(LEN(SUBSTITUTE(SUBSTITUTE(SUBSTITUTE(SUBSTITUTE(C38,".",""),"-","")," ",""),"/",""))=11,SUBSTITUTE(SUBSTITUTE(SUBSTITUTE(SUBSTITUTE(C38,".",""),"-","")," ",""),"/","")&lt;&gt;REPT(LEFT(SUBSTITUTE(SUBSTITUTE(SUBSTITUTE(SUBSTITUTE(C38,".",""),"-","")," ",""),"/",""),1),11),VALUE(MID(SUBSTITUTE(SUBSTITUTE(SUBSTITUTE(SUBSTITUTE(C38,".",""),"-","")," ",""),"/",""),10,1))=IF(MOD(SUMPRODUCT(--MID(SUBSTITUTE(SUBSTITUTE(SUBSTITUTE(SUBSTITUTE(C38,".",""),"-","")," ",""),"/",""),{1,2,3,4,5,6,7,8,9},1),{10,9,8,7,6,5,4,3,2}),11)&lt;2,0,11-MOD(SUMPRODUCT(--MID(SUBSTITUTE(SUBSTITUTE(SUBSTITUTE(SUBSTITUTE(C38,".",""),"-","")," ",""),"/",""),{1,2,3,4,5,6,7,8,9},1),{10,9,8,7,6,5,4,3,2}),11)),VALUE(MID(SUBSTITUTE(SUBSTITUTE(SUBSTITUTE(SUBSTITUTE(C38,".",""),"-","")," ",""),"/",""),11,1))=IF(MOD(SUMPRODUCT(--MID(SUBSTITUTE(SUBSTITUTE(SUBSTITUTE(SUBSTITUTE(C38,".",""),"-","")," ",""),"/",""),{1,2,3,4,5,6,7,8,9,10},1),{11,10,9,8,7,6,5,4,3,2}),11)&lt;2,0,11-MOD(SUMPRODUCT(--MID(SUBSTITUTE(SUBSTITUTE(SUBSTITUTE(SUBSTITUTE(C38,".",""),"-","")," ",""),"/",""),{1,2,3,4,5,6,7,8,9,10},1),{11,10,9,8,7,6,5,4,3,2}),11))),FALSE()),AND(LEN(SUBSTITUTE(SUBSTITUTE(SUBSTITUTE(SUBSTITUTE(C38,".",""),"-","")," ",""),"/",""))=14,ISNUMBER(VALUE(SUBSTITUTE(SUBSTITUTE(SUBSTITUTE(SUBSTITUTE(C38,".",""),"-","")," ",""),"/",""))))),FALSE())),G38&gt;F38),"Revisar",IF(I38&lt;&gt;"Sim","Falta informe","OK")))</f>
        <v/>
      </c>
    </row>
    <row r="39" customFormat="false" ht="15" hidden="false" customHeight="false" outlineLevel="0" collapsed="false">
      <c r="A39" s="19"/>
      <c r="B39" s="18"/>
      <c r="C39" s="18"/>
      <c r="D39" s="18"/>
      <c r="E39" s="21" t="str">
        <f aca="false">IF(D39="","",IFERROR(VLOOKUP(D39,Listas!$A$5:$B$16,2,FALSE()),""))</f>
        <v/>
      </c>
      <c r="F39" s="22"/>
      <c r="G39" s="22"/>
      <c r="H39" s="22"/>
      <c r="I39" s="23"/>
      <c r="J39" s="18"/>
      <c r="K39" s="20" t="str">
        <f aca="false">IF(AND(A39="",B39="",D39="",F39=""),"",IF(OR(A39="",B39="",D39="",F39="",NOT(IFERROR(OR(IFERROR(AND(LEN(SUBSTITUTE(SUBSTITUTE(SUBSTITUTE(SUBSTITUTE(C39,".",""),"-","")," ",""),"/",""))=11,SUBSTITUTE(SUBSTITUTE(SUBSTITUTE(SUBSTITUTE(C39,".",""),"-","")," ",""),"/","")&lt;&gt;REPT(LEFT(SUBSTITUTE(SUBSTITUTE(SUBSTITUTE(SUBSTITUTE(C39,".",""),"-","")," ",""),"/",""),1),11),VALUE(MID(SUBSTITUTE(SUBSTITUTE(SUBSTITUTE(SUBSTITUTE(C39,".",""),"-","")," ",""),"/",""),10,1))=IF(MOD(SUMPRODUCT(--MID(SUBSTITUTE(SUBSTITUTE(SUBSTITUTE(SUBSTITUTE(C39,".",""),"-","")," ",""),"/",""),{1,2,3,4,5,6,7,8,9},1),{10,9,8,7,6,5,4,3,2}),11)&lt;2,0,11-MOD(SUMPRODUCT(--MID(SUBSTITUTE(SUBSTITUTE(SUBSTITUTE(SUBSTITUTE(C39,".",""),"-","")," ",""),"/",""),{1,2,3,4,5,6,7,8,9},1),{10,9,8,7,6,5,4,3,2}),11)),VALUE(MID(SUBSTITUTE(SUBSTITUTE(SUBSTITUTE(SUBSTITUTE(C39,".",""),"-","")," ",""),"/",""),11,1))=IF(MOD(SUMPRODUCT(--MID(SUBSTITUTE(SUBSTITUTE(SUBSTITUTE(SUBSTITUTE(C39,".",""),"-","")," ",""),"/",""),{1,2,3,4,5,6,7,8,9,10},1),{11,10,9,8,7,6,5,4,3,2}),11)&lt;2,0,11-MOD(SUMPRODUCT(--MID(SUBSTITUTE(SUBSTITUTE(SUBSTITUTE(SUBSTITUTE(C39,".",""),"-","")," ",""),"/",""),{1,2,3,4,5,6,7,8,9,10},1),{11,10,9,8,7,6,5,4,3,2}),11))),FALSE()),AND(LEN(SUBSTITUTE(SUBSTITUTE(SUBSTITUTE(SUBSTITUTE(C39,".",""),"-","")," ",""),"/",""))=14,ISNUMBER(VALUE(SUBSTITUTE(SUBSTITUTE(SUBSTITUTE(SUBSTITUTE(C39,".",""),"-","")," ",""),"/",""))))),FALSE())),G39&gt;F39),"Revisar",IF(I39&lt;&gt;"Sim","Falta informe","OK")))</f>
        <v/>
      </c>
    </row>
    <row r="40" customFormat="false" ht="15" hidden="false" customHeight="false" outlineLevel="0" collapsed="false">
      <c r="A40" s="19"/>
      <c r="B40" s="18"/>
      <c r="C40" s="18"/>
      <c r="D40" s="18"/>
      <c r="E40" s="21" t="str">
        <f aca="false">IF(D40="","",IFERROR(VLOOKUP(D40,Listas!$A$5:$B$16,2,FALSE()),""))</f>
        <v/>
      </c>
      <c r="F40" s="22"/>
      <c r="G40" s="22"/>
      <c r="H40" s="22"/>
      <c r="I40" s="23"/>
      <c r="J40" s="18"/>
      <c r="K40" s="20" t="str">
        <f aca="false">IF(AND(A40="",B40="",D40="",F40=""),"",IF(OR(A40="",B40="",D40="",F40="",NOT(IFERROR(OR(IFERROR(AND(LEN(SUBSTITUTE(SUBSTITUTE(SUBSTITUTE(SUBSTITUTE(C40,".",""),"-","")," ",""),"/",""))=11,SUBSTITUTE(SUBSTITUTE(SUBSTITUTE(SUBSTITUTE(C40,".",""),"-","")," ",""),"/","")&lt;&gt;REPT(LEFT(SUBSTITUTE(SUBSTITUTE(SUBSTITUTE(SUBSTITUTE(C40,".",""),"-","")," ",""),"/",""),1),11),VALUE(MID(SUBSTITUTE(SUBSTITUTE(SUBSTITUTE(SUBSTITUTE(C40,".",""),"-","")," ",""),"/",""),10,1))=IF(MOD(SUMPRODUCT(--MID(SUBSTITUTE(SUBSTITUTE(SUBSTITUTE(SUBSTITUTE(C40,".",""),"-","")," ",""),"/",""),{1,2,3,4,5,6,7,8,9},1),{10,9,8,7,6,5,4,3,2}),11)&lt;2,0,11-MOD(SUMPRODUCT(--MID(SUBSTITUTE(SUBSTITUTE(SUBSTITUTE(SUBSTITUTE(C40,".",""),"-","")," ",""),"/",""),{1,2,3,4,5,6,7,8,9},1),{10,9,8,7,6,5,4,3,2}),11)),VALUE(MID(SUBSTITUTE(SUBSTITUTE(SUBSTITUTE(SUBSTITUTE(C40,".",""),"-","")," ",""),"/",""),11,1))=IF(MOD(SUMPRODUCT(--MID(SUBSTITUTE(SUBSTITUTE(SUBSTITUTE(SUBSTITUTE(C40,".",""),"-","")," ",""),"/",""),{1,2,3,4,5,6,7,8,9,10},1),{11,10,9,8,7,6,5,4,3,2}),11)&lt;2,0,11-MOD(SUMPRODUCT(--MID(SUBSTITUTE(SUBSTITUTE(SUBSTITUTE(SUBSTITUTE(C40,".",""),"-","")," ",""),"/",""),{1,2,3,4,5,6,7,8,9,10},1),{11,10,9,8,7,6,5,4,3,2}),11))),FALSE()),AND(LEN(SUBSTITUTE(SUBSTITUTE(SUBSTITUTE(SUBSTITUTE(C40,".",""),"-","")," ",""),"/",""))=14,ISNUMBER(VALUE(SUBSTITUTE(SUBSTITUTE(SUBSTITUTE(SUBSTITUTE(C40,".",""),"-","")," ",""),"/",""))))),FALSE())),G40&gt;F40),"Revisar",IF(I40&lt;&gt;"Sim","Falta informe","OK")))</f>
        <v/>
      </c>
    </row>
    <row r="41" customFormat="false" ht="15" hidden="false" customHeight="false" outlineLevel="0" collapsed="false">
      <c r="A41" s="19"/>
      <c r="B41" s="18"/>
      <c r="C41" s="18"/>
      <c r="D41" s="18"/>
      <c r="E41" s="21" t="str">
        <f aca="false">IF(D41="","",IFERROR(VLOOKUP(D41,Listas!$A$5:$B$16,2,FALSE()),""))</f>
        <v/>
      </c>
      <c r="F41" s="22"/>
      <c r="G41" s="22"/>
      <c r="H41" s="22"/>
      <c r="I41" s="23"/>
      <c r="J41" s="18"/>
      <c r="K41" s="20" t="str">
        <f aca="false">IF(AND(A41="",B41="",D41="",F41=""),"",IF(OR(A41="",B41="",D41="",F41="",NOT(IFERROR(OR(IFERROR(AND(LEN(SUBSTITUTE(SUBSTITUTE(SUBSTITUTE(SUBSTITUTE(C41,".",""),"-","")," ",""),"/",""))=11,SUBSTITUTE(SUBSTITUTE(SUBSTITUTE(SUBSTITUTE(C41,".",""),"-","")," ",""),"/","")&lt;&gt;REPT(LEFT(SUBSTITUTE(SUBSTITUTE(SUBSTITUTE(SUBSTITUTE(C41,".",""),"-","")," ",""),"/",""),1),11),VALUE(MID(SUBSTITUTE(SUBSTITUTE(SUBSTITUTE(SUBSTITUTE(C41,".",""),"-","")," ",""),"/",""),10,1))=IF(MOD(SUMPRODUCT(--MID(SUBSTITUTE(SUBSTITUTE(SUBSTITUTE(SUBSTITUTE(C41,".",""),"-","")," ",""),"/",""),{1,2,3,4,5,6,7,8,9},1),{10,9,8,7,6,5,4,3,2}),11)&lt;2,0,11-MOD(SUMPRODUCT(--MID(SUBSTITUTE(SUBSTITUTE(SUBSTITUTE(SUBSTITUTE(C41,".",""),"-","")," ",""),"/",""),{1,2,3,4,5,6,7,8,9},1),{10,9,8,7,6,5,4,3,2}),11)),VALUE(MID(SUBSTITUTE(SUBSTITUTE(SUBSTITUTE(SUBSTITUTE(C41,".",""),"-","")," ",""),"/",""),11,1))=IF(MOD(SUMPRODUCT(--MID(SUBSTITUTE(SUBSTITUTE(SUBSTITUTE(SUBSTITUTE(C41,".",""),"-","")," ",""),"/",""),{1,2,3,4,5,6,7,8,9,10},1),{11,10,9,8,7,6,5,4,3,2}),11)&lt;2,0,11-MOD(SUMPRODUCT(--MID(SUBSTITUTE(SUBSTITUTE(SUBSTITUTE(SUBSTITUTE(C41,".",""),"-","")," ",""),"/",""),{1,2,3,4,5,6,7,8,9,10},1),{11,10,9,8,7,6,5,4,3,2}),11))),FALSE()),AND(LEN(SUBSTITUTE(SUBSTITUTE(SUBSTITUTE(SUBSTITUTE(C41,".",""),"-","")," ",""),"/",""))=14,ISNUMBER(VALUE(SUBSTITUTE(SUBSTITUTE(SUBSTITUTE(SUBSTITUTE(C41,".",""),"-","")," ",""),"/",""))))),FALSE())),G41&gt;F41),"Revisar",IF(I41&lt;&gt;"Sim","Falta informe","OK")))</f>
        <v/>
      </c>
    </row>
    <row r="42" customFormat="false" ht="15" hidden="false" customHeight="false" outlineLevel="0" collapsed="false">
      <c r="A42" s="19"/>
      <c r="B42" s="18"/>
      <c r="C42" s="18"/>
      <c r="D42" s="18"/>
      <c r="E42" s="21" t="str">
        <f aca="false">IF(D42="","",IFERROR(VLOOKUP(D42,Listas!$A$5:$B$16,2,FALSE()),""))</f>
        <v/>
      </c>
      <c r="F42" s="22"/>
      <c r="G42" s="22"/>
      <c r="H42" s="22"/>
      <c r="I42" s="23"/>
      <c r="J42" s="18"/>
      <c r="K42" s="20" t="str">
        <f aca="false">IF(AND(A42="",B42="",D42="",F42=""),"",IF(OR(A42="",B42="",D42="",F42="",NOT(IFERROR(OR(IFERROR(AND(LEN(SUBSTITUTE(SUBSTITUTE(SUBSTITUTE(SUBSTITUTE(C42,".",""),"-","")," ",""),"/",""))=11,SUBSTITUTE(SUBSTITUTE(SUBSTITUTE(SUBSTITUTE(C42,".",""),"-","")," ",""),"/","")&lt;&gt;REPT(LEFT(SUBSTITUTE(SUBSTITUTE(SUBSTITUTE(SUBSTITUTE(C42,".",""),"-","")," ",""),"/",""),1),11),VALUE(MID(SUBSTITUTE(SUBSTITUTE(SUBSTITUTE(SUBSTITUTE(C42,".",""),"-","")," ",""),"/",""),10,1))=IF(MOD(SUMPRODUCT(--MID(SUBSTITUTE(SUBSTITUTE(SUBSTITUTE(SUBSTITUTE(C42,".",""),"-","")," ",""),"/",""),{1,2,3,4,5,6,7,8,9},1),{10,9,8,7,6,5,4,3,2}),11)&lt;2,0,11-MOD(SUMPRODUCT(--MID(SUBSTITUTE(SUBSTITUTE(SUBSTITUTE(SUBSTITUTE(C42,".",""),"-","")," ",""),"/",""),{1,2,3,4,5,6,7,8,9},1),{10,9,8,7,6,5,4,3,2}),11)),VALUE(MID(SUBSTITUTE(SUBSTITUTE(SUBSTITUTE(SUBSTITUTE(C42,".",""),"-","")," ",""),"/",""),11,1))=IF(MOD(SUMPRODUCT(--MID(SUBSTITUTE(SUBSTITUTE(SUBSTITUTE(SUBSTITUTE(C42,".",""),"-","")," ",""),"/",""),{1,2,3,4,5,6,7,8,9,10},1),{11,10,9,8,7,6,5,4,3,2}),11)&lt;2,0,11-MOD(SUMPRODUCT(--MID(SUBSTITUTE(SUBSTITUTE(SUBSTITUTE(SUBSTITUTE(C42,".",""),"-","")," ",""),"/",""),{1,2,3,4,5,6,7,8,9,10},1),{11,10,9,8,7,6,5,4,3,2}),11))),FALSE()),AND(LEN(SUBSTITUTE(SUBSTITUTE(SUBSTITUTE(SUBSTITUTE(C42,".",""),"-","")," ",""),"/",""))=14,ISNUMBER(VALUE(SUBSTITUTE(SUBSTITUTE(SUBSTITUTE(SUBSTITUTE(C42,".",""),"-","")," ",""),"/",""))))),FALSE())),G42&gt;F42),"Revisar",IF(I42&lt;&gt;"Sim","Falta informe","OK")))</f>
        <v/>
      </c>
    </row>
    <row r="43" customFormat="false" ht="15" hidden="false" customHeight="false" outlineLevel="0" collapsed="false">
      <c r="A43" s="19"/>
      <c r="B43" s="18"/>
      <c r="C43" s="18"/>
      <c r="D43" s="18"/>
      <c r="E43" s="21" t="str">
        <f aca="false">IF(D43="","",IFERROR(VLOOKUP(D43,Listas!$A$5:$B$16,2,FALSE()),""))</f>
        <v/>
      </c>
      <c r="F43" s="22"/>
      <c r="G43" s="22"/>
      <c r="H43" s="22"/>
      <c r="I43" s="23"/>
      <c r="J43" s="18"/>
      <c r="K43" s="20" t="str">
        <f aca="false">IF(AND(A43="",B43="",D43="",F43=""),"",IF(OR(A43="",B43="",D43="",F43="",NOT(IFERROR(OR(IFERROR(AND(LEN(SUBSTITUTE(SUBSTITUTE(SUBSTITUTE(SUBSTITUTE(C43,".",""),"-","")," ",""),"/",""))=11,SUBSTITUTE(SUBSTITUTE(SUBSTITUTE(SUBSTITUTE(C43,".",""),"-","")," ",""),"/","")&lt;&gt;REPT(LEFT(SUBSTITUTE(SUBSTITUTE(SUBSTITUTE(SUBSTITUTE(C43,".",""),"-","")," ",""),"/",""),1),11),VALUE(MID(SUBSTITUTE(SUBSTITUTE(SUBSTITUTE(SUBSTITUTE(C43,".",""),"-","")," ",""),"/",""),10,1))=IF(MOD(SUMPRODUCT(--MID(SUBSTITUTE(SUBSTITUTE(SUBSTITUTE(SUBSTITUTE(C43,".",""),"-","")," ",""),"/",""),{1,2,3,4,5,6,7,8,9},1),{10,9,8,7,6,5,4,3,2}),11)&lt;2,0,11-MOD(SUMPRODUCT(--MID(SUBSTITUTE(SUBSTITUTE(SUBSTITUTE(SUBSTITUTE(C43,".",""),"-","")," ",""),"/",""),{1,2,3,4,5,6,7,8,9},1),{10,9,8,7,6,5,4,3,2}),11)),VALUE(MID(SUBSTITUTE(SUBSTITUTE(SUBSTITUTE(SUBSTITUTE(C43,".",""),"-","")," ",""),"/",""),11,1))=IF(MOD(SUMPRODUCT(--MID(SUBSTITUTE(SUBSTITUTE(SUBSTITUTE(SUBSTITUTE(C43,".",""),"-","")," ",""),"/",""),{1,2,3,4,5,6,7,8,9,10},1),{11,10,9,8,7,6,5,4,3,2}),11)&lt;2,0,11-MOD(SUMPRODUCT(--MID(SUBSTITUTE(SUBSTITUTE(SUBSTITUTE(SUBSTITUTE(C43,".",""),"-","")," ",""),"/",""),{1,2,3,4,5,6,7,8,9,10},1),{11,10,9,8,7,6,5,4,3,2}),11))),FALSE()),AND(LEN(SUBSTITUTE(SUBSTITUTE(SUBSTITUTE(SUBSTITUTE(C43,".",""),"-","")," ",""),"/",""))=14,ISNUMBER(VALUE(SUBSTITUTE(SUBSTITUTE(SUBSTITUTE(SUBSTITUTE(C43,".",""),"-","")," ",""),"/",""))))),FALSE())),G43&gt;F43),"Revisar",IF(I43&lt;&gt;"Sim","Falta informe","OK")))</f>
        <v/>
      </c>
    </row>
    <row r="44" customFormat="false" ht="15" hidden="false" customHeight="false" outlineLevel="0" collapsed="false">
      <c r="A44" s="19"/>
      <c r="B44" s="18"/>
      <c r="C44" s="18"/>
      <c r="D44" s="18"/>
      <c r="E44" s="21" t="str">
        <f aca="false">IF(D44="","",IFERROR(VLOOKUP(D44,Listas!$A$5:$B$16,2,FALSE()),""))</f>
        <v/>
      </c>
      <c r="F44" s="22"/>
      <c r="G44" s="22"/>
      <c r="H44" s="22"/>
      <c r="I44" s="23"/>
      <c r="J44" s="18"/>
      <c r="K44" s="20" t="str">
        <f aca="false">IF(AND(A44="",B44="",D44="",F44=""),"",IF(OR(A44="",B44="",D44="",F44="",NOT(IFERROR(OR(IFERROR(AND(LEN(SUBSTITUTE(SUBSTITUTE(SUBSTITUTE(SUBSTITUTE(C44,".",""),"-","")," ",""),"/",""))=11,SUBSTITUTE(SUBSTITUTE(SUBSTITUTE(SUBSTITUTE(C44,".",""),"-","")," ",""),"/","")&lt;&gt;REPT(LEFT(SUBSTITUTE(SUBSTITUTE(SUBSTITUTE(SUBSTITUTE(C44,".",""),"-","")," ",""),"/",""),1),11),VALUE(MID(SUBSTITUTE(SUBSTITUTE(SUBSTITUTE(SUBSTITUTE(C44,".",""),"-","")," ",""),"/",""),10,1))=IF(MOD(SUMPRODUCT(--MID(SUBSTITUTE(SUBSTITUTE(SUBSTITUTE(SUBSTITUTE(C44,".",""),"-","")," ",""),"/",""),{1,2,3,4,5,6,7,8,9},1),{10,9,8,7,6,5,4,3,2}),11)&lt;2,0,11-MOD(SUMPRODUCT(--MID(SUBSTITUTE(SUBSTITUTE(SUBSTITUTE(SUBSTITUTE(C44,".",""),"-","")," ",""),"/",""),{1,2,3,4,5,6,7,8,9},1),{10,9,8,7,6,5,4,3,2}),11)),VALUE(MID(SUBSTITUTE(SUBSTITUTE(SUBSTITUTE(SUBSTITUTE(C44,".",""),"-","")," ",""),"/",""),11,1))=IF(MOD(SUMPRODUCT(--MID(SUBSTITUTE(SUBSTITUTE(SUBSTITUTE(SUBSTITUTE(C44,".",""),"-","")," ",""),"/",""),{1,2,3,4,5,6,7,8,9,10},1),{11,10,9,8,7,6,5,4,3,2}),11)&lt;2,0,11-MOD(SUMPRODUCT(--MID(SUBSTITUTE(SUBSTITUTE(SUBSTITUTE(SUBSTITUTE(C44,".",""),"-","")," ",""),"/",""),{1,2,3,4,5,6,7,8,9,10},1),{11,10,9,8,7,6,5,4,3,2}),11))),FALSE()),AND(LEN(SUBSTITUTE(SUBSTITUTE(SUBSTITUTE(SUBSTITUTE(C44,".",""),"-","")," ",""),"/",""))=14,ISNUMBER(VALUE(SUBSTITUTE(SUBSTITUTE(SUBSTITUTE(SUBSTITUTE(C44,".",""),"-","")," ",""),"/",""))))),FALSE())),G44&gt;F44),"Revisar",IF(I44&lt;&gt;"Sim","Falta informe","OK")))</f>
        <v/>
      </c>
    </row>
    <row r="45" customFormat="false" ht="15" hidden="false" customHeight="false" outlineLevel="0" collapsed="false">
      <c r="A45" s="19"/>
      <c r="B45" s="18"/>
      <c r="C45" s="18"/>
      <c r="D45" s="18"/>
      <c r="E45" s="21" t="str">
        <f aca="false">IF(D45="","",IFERROR(VLOOKUP(D45,Listas!$A$5:$B$16,2,FALSE()),""))</f>
        <v/>
      </c>
      <c r="F45" s="22"/>
      <c r="G45" s="22"/>
      <c r="H45" s="22"/>
      <c r="I45" s="23"/>
      <c r="J45" s="18"/>
      <c r="K45" s="20" t="str">
        <f aca="false">IF(AND(A45="",B45="",D45="",F45=""),"",IF(OR(A45="",B45="",D45="",F45="",NOT(IFERROR(OR(IFERROR(AND(LEN(SUBSTITUTE(SUBSTITUTE(SUBSTITUTE(SUBSTITUTE(C45,".",""),"-","")," ",""),"/",""))=11,SUBSTITUTE(SUBSTITUTE(SUBSTITUTE(SUBSTITUTE(C45,".",""),"-","")," ",""),"/","")&lt;&gt;REPT(LEFT(SUBSTITUTE(SUBSTITUTE(SUBSTITUTE(SUBSTITUTE(C45,".",""),"-","")," ",""),"/",""),1),11),VALUE(MID(SUBSTITUTE(SUBSTITUTE(SUBSTITUTE(SUBSTITUTE(C45,".",""),"-","")," ",""),"/",""),10,1))=IF(MOD(SUMPRODUCT(--MID(SUBSTITUTE(SUBSTITUTE(SUBSTITUTE(SUBSTITUTE(C45,".",""),"-","")," ",""),"/",""),{1,2,3,4,5,6,7,8,9},1),{10,9,8,7,6,5,4,3,2}),11)&lt;2,0,11-MOD(SUMPRODUCT(--MID(SUBSTITUTE(SUBSTITUTE(SUBSTITUTE(SUBSTITUTE(C45,".",""),"-","")," ",""),"/",""),{1,2,3,4,5,6,7,8,9},1),{10,9,8,7,6,5,4,3,2}),11)),VALUE(MID(SUBSTITUTE(SUBSTITUTE(SUBSTITUTE(SUBSTITUTE(C45,".",""),"-","")," ",""),"/",""),11,1))=IF(MOD(SUMPRODUCT(--MID(SUBSTITUTE(SUBSTITUTE(SUBSTITUTE(SUBSTITUTE(C45,".",""),"-","")," ",""),"/",""),{1,2,3,4,5,6,7,8,9,10},1),{11,10,9,8,7,6,5,4,3,2}),11)&lt;2,0,11-MOD(SUMPRODUCT(--MID(SUBSTITUTE(SUBSTITUTE(SUBSTITUTE(SUBSTITUTE(C45,".",""),"-","")," ",""),"/",""),{1,2,3,4,5,6,7,8,9,10},1),{11,10,9,8,7,6,5,4,3,2}),11))),FALSE()),AND(LEN(SUBSTITUTE(SUBSTITUTE(SUBSTITUTE(SUBSTITUTE(C45,".",""),"-","")," ",""),"/",""))=14,ISNUMBER(VALUE(SUBSTITUTE(SUBSTITUTE(SUBSTITUTE(SUBSTITUTE(C45,".",""),"-","")," ",""),"/",""))))),FALSE())),G45&gt;F45),"Revisar",IF(I45&lt;&gt;"Sim","Falta informe","OK")))</f>
        <v/>
      </c>
    </row>
    <row r="46" customFormat="false" ht="15" hidden="false" customHeight="false" outlineLevel="0" collapsed="false">
      <c r="A46" s="19"/>
      <c r="B46" s="18"/>
      <c r="C46" s="18"/>
      <c r="D46" s="18"/>
      <c r="E46" s="21" t="str">
        <f aca="false">IF(D46="","",IFERROR(VLOOKUP(D46,Listas!$A$5:$B$16,2,FALSE()),""))</f>
        <v/>
      </c>
      <c r="F46" s="22"/>
      <c r="G46" s="22"/>
      <c r="H46" s="22"/>
      <c r="I46" s="23"/>
      <c r="J46" s="18"/>
      <c r="K46" s="20" t="str">
        <f aca="false">IF(AND(A46="",B46="",D46="",F46=""),"",IF(OR(A46="",B46="",D46="",F46="",NOT(IFERROR(OR(IFERROR(AND(LEN(SUBSTITUTE(SUBSTITUTE(SUBSTITUTE(SUBSTITUTE(C46,".",""),"-","")," ",""),"/",""))=11,SUBSTITUTE(SUBSTITUTE(SUBSTITUTE(SUBSTITUTE(C46,".",""),"-","")," ",""),"/","")&lt;&gt;REPT(LEFT(SUBSTITUTE(SUBSTITUTE(SUBSTITUTE(SUBSTITUTE(C46,".",""),"-","")," ",""),"/",""),1),11),VALUE(MID(SUBSTITUTE(SUBSTITUTE(SUBSTITUTE(SUBSTITUTE(C46,".",""),"-","")," ",""),"/",""),10,1))=IF(MOD(SUMPRODUCT(--MID(SUBSTITUTE(SUBSTITUTE(SUBSTITUTE(SUBSTITUTE(C46,".",""),"-","")," ",""),"/",""),{1,2,3,4,5,6,7,8,9},1),{10,9,8,7,6,5,4,3,2}),11)&lt;2,0,11-MOD(SUMPRODUCT(--MID(SUBSTITUTE(SUBSTITUTE(SUBSTITUTE(SUBSTITUTE(C46,".",""),"-","")," ",""),"/",""),{1,2,3,4,5,6,7,8,9},1),{10,9,8,7,6,5,4,3,2}),11)),VALUE(MID(SUBSTITUTE(SUBSTITUTE(SUBSTITUTE(SUBSTITUTE(C46,".",""),"-","")," ",""),"/",""),11,1))=IF(MOD(SUMPRODUCT(--MID(SUBSTITUTE(SUBSTITUTE(SUBSTITUTE(SUBSTITUTE(C46,".",""),"-","")," ",""),"/",""),{1,2,3,4,5,6,7,8,9,10},1),{11,10,9,8,7,6,5,4,3,2}),11)&lt;2,0,11-MOD(SUMPRODUCT(--MID(SUBSTITUTE(SUBSTITUTE(SUBSTITUTE(SUBSTITUTE(C46,".",""),"-","")," ",""),"/",""),{1,2,3,4,5,6,7,8,9,10},1),{11,10,9,8,7,6,5,4,3,2}),11))),FALSE()),AND(LEN(SUBSTITUTE(SUBSTITUTE(SUBSTITUTE(SUBSTITUTE(C46,".",""),"-","")," ",""),"/",""))=14,ISNUMBER(VALUE(SUBSTITUTE(SUBSTITUTE(SUBSTITUTE(SUBSTITUTE(C46,".",""),"-","")," ",""),"/",""))))),FALSE())),G46&gt;F46),"Revisar",IF(I46&lt;&gt;"Sim","Falta informe","OK")))</f>
        <v/>
      </c>
    </row>
    <row r="47" customFormat="false" ht="15" hidden="false" customHeight="false" outlineLevel="0" collapsed="false">
      <c r="A47" s="19"/>
      <c r="B47" s="18"/>
      <c r="C47" s="18"/>
      <c r="D47" s="18"/>
      <c r="E47" s="21" t="str">
        <f aca="false">IF(D47="","",IFERROR(VLOOKUP(D47,Listas!$A$5:$B$16,2,FALSE()),""))</f>
        <v/>
      </c>
      <c r="F47" s="22"/>
      <c r="G47" s="22"/>
      <c r="H47" s="22"/>
      <c r="I47" s="23"/>
      <c r="J47" s="18"/>
      <c r="K47" s="20" t="str">
        <f aca="false">IF(AND(A47="",B47="",D47="",F47=""),"",IF(OR(A47="",B47="",D47="",F47="",NOT(IFERROR(OR(IFERROR(AND(LEN(SUBSTITUTE(SUBSTITUTE(SUBSTITUTE(SUBSTITUTE(C47,".",""),"-","")," ",""),"/",""))=11,SUBSTITUTE(SUBSTITUTE(SUBSTITUTE(SUBSTITUTE(C47,".",""),"-","")," ",""),"/","")&lt;&gt;REPT(LEFT(SUBSTITUTE(SUBSTITUTE(SUBSTITUTE(SUBSTITUTE(C47,".",""),"-","")," ",""),"/",""),1),11),VALUE(MID(SUBSTITUTE(SUBSTITUTE(SUBSTITUTE(SUBSTITUTE(C47,".",""),"-","")," ",""),"/",""),10,1))=IF(MOD(SUMPRODUCT(--MID(SUBSTITUTE(SUBSTITUTE(SUBSTITUTE(SUBSTITUTE(C47,".",""),"-","")," ",""),"/",""),{1,2,3,4,5,6,7,8,9},1),{10,9,8,7,6,5,4,3,2}),11)&lt;2,0,11-MOD(SUMPRODUCT(--MID(SUBSTITUTE(SUBSTITUTE(SUBSTITUTE(SUBSTITUTE(C47,".",""),"-","")," ",""),"/",""),{1,2,3,4,5,6,7,8,9},1),{10,9,8,7,6,5,4,3,2}),11)),VALUE(MID(SUBSTITUTE(SUBSTITUTE(SUBSTITUTE(SUBSTITUTE(C47,".",""),"-","")," ",""),"/",""),11,1))=IF(MOD(SUMPRODUCT(--MID(SUBSTITUTE(SUBSTITUTE(SUBSTITUTE(SUBSTITUTE(C47,".",""),"-","")," ",""),"/",""),{1,2,3,4,5,6,7,8,9,10},1),{11,10,9,8,7,6,5,4,3,2}),11)&lt;2,0,11-MOD(SUMPRODUCT(--MID(SUBSTITUTE(SUBSTITUTE(SUBSTITUTE(SUBSTITUTE(C47,".",""),"-","")," ",""),"/",""),{1,2,3,4,5,6,7,8,9,10},1),{11,10,9,8,7,6,5,4,3,2}),11))),FALSE()),AND(LEN(SUBSTITUTE(SUBSTITUTE(SUBSTITUTE(SUBSTITUTE(C47,".",""),"-","")," ",""),"/",""))=14,ISNUMBER(VALUE(SUBSTITUTE(SUBSTITUTE(SUBSTITUTE(SUBSTITUTE(C47,".",""),"-","")," ",""),"/",""))))),FALSE())),G47&gt;F47),"Revisar",IF(I47&lt;&gt;"Sim","Falta informe","OK")))</f>
        <v/>
      </c>
    </row>
    <row r="48" customFormat="false" ht="15" hidden="false" customHeight="false" outlineLevel="0" collapsed="false">
      <c r="A48" s="19"/>
      <c r="B48" s="18"/>
      <c r="C48" s="18"/>
      <c r="D48" s="18"/>
      <c r="E48" s="21" t="str">
        <f aca="false">IF(D48="","",IFERROR(VLOOKUP(D48,Listas!$A$5:$B$16,2,FALSE()),""))</f>
        <v/>
      </c>
      <c r="F48" s="22"/>
      <c r="G48" s="22"/>
      <c r="H48" s="22"/>
      <c r="I48" s="23"/>
      <c r="J48" s="18"/>
      <c r="K48" s="20" t="str">
        <f aca="false">IF(AND(A48="",B48="",D48="",F48=""),"",IF(OR(A48="",B48="",D48="",F48="",NOT(IFERROR(OR(IFERROR(AND(LEN(SUBSTITUTE(SUBSTITUTE(SUBSTITUTE(SUBSTITUTE(C48,".",""),"-","")," ",""),"/",""))=11,SUBSTITUTE(SUBSTITUTE(SUBSTITUTE(SUBSTITUTE(C48,".",""),"-","")," ",""),"/","")&lt;&gt;REPT(LEFT(SUBSTITUTE(SUBSTITUTE(SUBSTITUTE(SUBSTITUTE(C48,".",""),"-","")," ",""),"/",""),1),11),VALUE(MID(SUBSTITUTE(SUBSTITUTE(SUBSTITUTE(SUBSTITUTE(C48,".",""),"-","")," ",""),"/",""),10,1))=IF(MOD(SUMPRODUCT(--MID(SUBSTITUTE(SUBSTITUTE(SUBSTITUTE(SUBSTITUTE(C48,".",""),"-","")," ",""),"/",""),{1,2,3,4,5,6,7,8,9},1),{10,9,8,7,6,5,4,3,2}),11)&lt;2,0,11-MOD(SUMPRODUCT(--MID(SUBSTITUTE(SUBSTITUTE(SUBSTITUTE(SUBSTITUTE(C48,".",""),"-","")," ",""),"/",""),{1,2,3,4,5,6,7,8,9},1),{10,9,8,7,6,5,4,3,2}),11)),VALUE(MID(SUBSTITUTE(SUBSTITUTE(SUBSTITUTE(SUBSTITUTE(C48,".",""),"-","")," ",""),"/",""),11,1))=IF(MOD(SUMPRODUCT(--MID(SUBSTITUTE(SUBSTITUTE(SUBSTITUTE(SUBSTITUTE(C48,".",""),"-","")," ",""),"/",""),{1,2,3,4,5,6,7,8,9,10},1),{11,10,9,8,7,6,5,4,3,2}),11)&lt;2,0,11-MOD(SUMPRODUCT(--MID(SUBSTITUTE(SUBSTITUTE(SUBSTITUTE(SUBSTITUTE(C48,".",""),"-","")," ",""),"/",""),{1,2,3,4,5,6,7,8,9,10},1),{11,10,9,8,7,6,5,4,3,2}),11))),FALSE()),AND(LEN(SUBSTITUTE(SUBSTITUTE(SUBSTITUTE(SUBSTITUTE(C48,".",""),"-","")," ",""),"/",""))=14,ISNUMBER(VALUE(SUBSTITUTE(SUBSTITUTE(SUBSTITUTE(SUBSTITUTE(C48,".",""),"-","")," ",""),"/",""))))),FALSE())),G48&gt;F48),"Revisar",IF(I48&lt;&gt;"Sim","Falta informe","OK")))</f>
        <v/>
      </c>
    </row>
    <row r="49" customFormat="false" ht="15" hidden="false" customHeight="false" outlineLevel="0" collapsed="false">
      <c r="A49" s="19"/>
      <c r="B49" s="18"/>
      <c r="C49" s="18"/>
      <c r="D49" s="18"/>
      <c r="E49" s="21" t="str">
        <f aca="false">IF(D49="","",IFERROR(VLOOKUP(D49,Listas!$A$5:$B$16,2,FALSE()),""))</f>
        <v/>
      </c>
      <c r="F49" s="22"/>
      <c r="G49" s="22"/>
      <c r="H49" s="22"/>
      <c r="I49" s="23"/>
      <c r="J49" s="18"/>
      <c r="K49" s="20" t="str">
        <f aca="false">IF(AND(A49="",B49="",D49="",F49=""),"",IF(OR(A49="",B49="",D49="",F49="",NOT(IFERROR(OR(IFERROR(AND(LEN(SUBSTITUTE(SUBSTITUTE(SUBSTITUTE(SUBSTITUTE(C49,".",""),"-","")," ",""),"/",""))=11,SUBSTITUTE(SUBSTITUTE(SUBSTITUTE(SUBSTITUTE(C49,".",""),"-","")," ",""),"/","")&lt;&gt;REPT(LEFT(SUBSTITUTE(SUBSTITUTE(SUBSTITUTE(SUBSTITUTE(C49,".",""),"-","")," ",""),"/",""),1),11),VALUE(MID(SUBSTITUTE(SUBSTITUTE(SUBSTITUTE(SUBSTITUTE(C49,".",""),"-","")," ",""),"/",""),10,1))=IF(MOD(SUMPRODUCT(--MID(SUBSTITUTE(SUBSTITUTE(SUBSTITUTE(SUBSTITUTE(C49,".",""),"-","")," ",""),"/",""),{1,2,3,4,5,6,7,8,9},1),{10,9,8,7,6,5,4,3,2}),11)&lt;2,0,11-MOD(SUMPRODUCT(--MID(SUBSTITUTE(SUBSTITUTE(SUBSTITUTE(SUBSTITUTE(C49,".",""),"-","")," ",""),"/",""),{1,2,3,4,5,6,7,8,9},1),{10,9,8,7,6,5,4,3,2}),11)),VALUE(MID(SUBSTITUTE(SUBSTITUTE(SUBSTITUTE(SUBSTITUTE(C49,".",""),"-","")," ",""),"/",""),11,1))=IF(MOD(SUMPRODUCT(--MID(SUBSTITUTE(SUBSTITUTE(SUBSTITUTE(SUBSTITUTE(C49,".",""),"-","")," ",""),"/",""),{1,2,3,4,5,6,7,8,9,10},1),{11,10,9,8,7,6,5,4,3,2}),11)&lt;2,0,11-MOD(SUMPRODUCT(--MID(SUBSTITUTE(SUBSTITUTE(SUBSTITUTE(SUBSTITUTE(C49,".",""),"-","")," ",""),"/",""),{1,2,3,4,5,6,7,8,9,10},1),{11,10,9,8,7,6,5,4,3,2}),11))),FALSE()),AND(LEN(SUBSTITUTE(SUBSTITUTE(SUBSTITUTE(SUBSTITUTE(C49,".",""),"-","")," ",""),"/",""))=14,ISNUMBER(VALUE(SUBSTITUTE(SUBSTITUTE(SUBSTITUTE(SUBSTITUTE(C49,".",""),"-","")," ",""),"/",""))))),FALSE())),G49&gt;F49),"Revisar",IF(I49&lt;&gt;"Sim","Falta informe","OK")))</f>
        <v/>
      </c>
    </row>
    <row r="50" customFormat="false" ht="15" hidden="false" customHeight="false" outlineLevel="0" collapsed="false">
      <c r="A50" s="19"/>
      <c r="B50" s="18"/>
      <c r="C50" s="18"/>
      <c r="D50" s="18"/>
      <c r="E50" s="21" t="str">
        <f aca="false">IF(D50="","",IFERROR(VLOOKUP(D50,Listas!$A$5:$B$16,2,FALSE()),""))</f>
        <v/>
      </c>
      <c r="F50" s="22"/>
      <c r="G50" s="22"/>
      <c r="H50" s="22"/>
      <c r="I50" s="23"/>
      <c r="J50" s="18"/>
      <c r="K50" s="20" t="str">
        <f aca="false">IF(AND(A50="",B50="",D50="",F50=""),"",IF(OR(A50="",B50="",D50="",F50="",NOT(IFERROR(OR(IFERROR(AND(LEN(SUBSTITUTE(SUBSTITUTE(SUBSTITUTE(SUBSTITUTE(C50,".",""),"-","")," ",""),"/",""))=11,SUBSTITUTE(SUBSTITUTE(SUBSTITUTE(SUBSTITUTE(C50,".",""),"-","")," ",""),"/","")&lt;&gt;REPT(LEFT(SUBSTITUTE(SUBSTITUTE(SUBSTITUTE(SUBSTITUTE(C50,".",""),"-","")," ",""),"/",""),1),11),VALUE(MID(SUBSTITUTE(SUBSTITUTE(SUBSTITUTE(SUBSTITUTE(C50,".",""),"-","")," ",""),"/",""),10,1))=IF(MOD(SUMPRODUCT(--MID(SUBSTITUTE(SUBSTITUTE(SUBSTITUTE(SUBSTITUTE(C50,".",""),"-","")," ",""),"/",""),{1,2,3,4,5,6,7,8,9},1),{10,9,8,7,6,5,4,3,2}),11)&lt;2,0,11-MOD(SUMPRODUCT(--MID(SUBSTITUTE(SUBSTITUTE(SUBSTITUTE(SUBSTITUTE(C50,".",""),"-","")," ",""),"/",""),{1,2,3,4,5,6,7,8,9},1),{10,9,8,7,6,5,4,3,2}),11)),VALUE(MID(SUBSTITUTE(SUBSTITUTE(SUBSTITUTE(SUBSTITUTE(C50,".",""),"-","")," ",""),"/",""),11,1))=IF(MOD(SUMPRODUCT(--MID(SUBSTITUTE(SUBSTITUTE(SUBSTITUTE(SUBSTITUTE(C50,".",""),"-","")," ",""),"/",""),{1,2,3,4,5,6,7,8,9,10},1),{11,10,9,8,7,6,5,4,3,2}),11)&lt;2,0,11-MOD(SUMPRODUCT(--MID(SUBSTITUTE(SUBSTITUTE(SUBSTITUTE(SUBSTITUTE(C50,".",""),"-","")," ",""),"/",""),{1,2,3,4,5,6,7,8,9,10},1),{11,10,9,8,7,6,5,4,3,2}),11))),FALSE()),AND(LEN(SUBSTITUTE(SUBSTITUTE(SUBSTITUTE(SUBSTITUTE(C50,".",""),"-","")," ",""),"/",""))=14,ISNUMBER(VALUE(SUBSTITUTE(SUBSTITUTE(SUBSTITUTE(SUBSTITUTE(C50,".",""),"-","")," ",""),"/",""))))),FALSE())),G50&gt;F50),"Revisar",IF(I50&lt;&gt;"Sim","Falta informe","OK")))</f>
        <v/>
      </c>
    </row>
    <row r="51" customFormat="false" ht="15" hidden="false" customHeight="false" outlineLevel="0" collapsed="false">
      <c r="A51" s="19"/>
      <c r="B51" s="18"/>
      <c r="C51" s="18"/>
      <c r="D51" s="18"/>
      <c r="E51" s="21" t="str">
        <f aca="false">IF(D51="","",IFERROR(VLOOKUP(D51,Listas!$A$5:$B$16,2,FALSE()),""))</f>
        <v/>
      </c>
      <c r="F51" s="22"/>
      <c r="G51" s="22"/>
      <c r="H51" s="22"/>
      <c r="I51" s="23"/>
      <c r="J51" s="18"/>
      <c r="K51" s="20" t="str">
        <f aca="false">IF(AND(A51="",B51="",D51="",F51=""),"",IF(OR(A51="",B51="",D51="",F51="",NOT(IFERROR(OR(IFERROR(AND(LEN(SUBSTITUTE(SUBSTITUTE(SUBSTITUTE(SUBSTITUTE(C51,".",""),"-","")," ",""),"/",""))=11,SUBSTITUTE(SUBSTITUTE(SUBSTITUTE(SUBSTITUTE(C51,".",""),"-","")," ",""),"/","")&lt;&gt;REPT(LEFT(SUBSTITUTE(SUBSTITUTE(SUBSTITUTE(SUBSTITUTE(C51,".",""),"-","")," ",""),"/",""),1),11),VALUE(MID(SUBSTITUTE(SUBSTITUTE(SUBSTITUTE(SUBSTITUTE(C51,".",""),"-","")," ",""),"/",""),10,1))=IF(MOD(SUMPRODUCT(--MID(SUBSTITUTE(SUBSTITUTE(SUBSTITUTE(SUBSTITUTE(C51,".",""),"-","")," ",""),"/",""),{1,2,3,4,5,6,7,8,9},1),{10,9,8,7,6,5,4,3,2}),11)&lt;2,0,11-MOD(SUMPRODUCT(--MID(SUBSTITUTE(SUBSTITUTE(SUBSTITUTE(SUBSTITUTE(C51,".",""),"-","")," ",""),"/",""),{1,2,3,4,5,6,7,8,9},1),{10,9,8,7,6,5,4,3,2}),11)),VALUE(MID(SUBSTITUTE(SUBSTITUTE(SUBSTITUTE(SUBSTITUTE(C51,".",""),"-","")," ",""),"/",""),11,1))=IF(MOD(SUMPRODUCT(--MID(SUBSTITUTE(SUBSTITUTE(SUBSTITUTE(SUBSTITUTE(C51,".",""),"-","")," ",""),"/",""),{1,2,3,4,5,6,7,8,9,10},1),{11,10,9,8,7,6,5,4,3,2}),11)&lt;2,0,11-MOD(SUMPRODUCT(--MID(SUBSTITUTE(SUBSTITUTE(SUBSTITUTE(SUBSTITUTE(C51,".",""),"-","")," ",""),"/",""),{1,2,3,4,5,6,7,8,9,10},1),{11,10,9,8,7,6,5,4,3,2}),11))),FALSE()),AND(LEN(SUBSTITUTE(SUBSTITUTE(SUBSTITUTE(SUBSTITUTE(C51,".",""),"-","")," ",""),"/",""))=14,ISNUMBER(VALUE(SUBSTITUTE(SUBSTITUTE(SUBSTITUTE(SUBSTITUTE(C51,".",""),"-","")," ",""),"/",""))))),FALSE())),G51&gt;F51),"Revisar",IF(I51&lt;&gt;"Sim","Falta informe","OK")))</f>
        <v/>
      </c>
    </row>
    <row r="52" customFormat="false" ht="15" hidden="false" customHeight="false" outlineLevel="0" collapsed="false">
      <c r="A52" s="19"/>
      <c r="B52" s="18"/>
      <c r="C52" s="18"/>
      <c r="D52" s="18"/>
      <c r="E52" s="21" t="str">
        <f aca="false">IF(D52="","",IFERROR(VLOOKUP(D52,Listas!$A$5:$B$16,2,FALSE()),""))</f>
        <v/>
      </c>
      <c r="F52" s="22"/>
      <c r="G52" s="22"/>
      <c r="H52" s="22"/>
      <c r="I52" s="23"/>
      <c r="J52" s="18"/>
      <c r="K52" s="20" t="str">
        <f aca="false">IF(AND(A52="",B52="",D52="",F52=""),"",IF(OR(A52="",B52="",D52="",F52="",NOT(IFERROR(OR(IFERROR(AND(LEN(SUBSTITUTE(SUBSTITUTE(SUBSTITUTE(SUBSTITUTE(C52,".",""),"-","")," ",""),"/",""))=11,SUBSTITUTE(SUBSTITUTE(SUBSTITUTE(SUBSTITUTE(C52,".",""),"-","")," ",""),"/","")&lt;&gt;REPT(LEFT(SUBSTITUTE(SUBSTITUTE(SUBSTITUTE(SUBSTITUTE(C52,".",""),"-","")," ",""),"/",""),1),11),VALUE(MID(SUBSTITUTE(SUBSTITUTE(SUBSTITUTE(SUBSTITUTE(C52,".",""),"-","")," ",""),"/",""),10,1))=IF(MOD(SUMPRODUCT(--MID(SUBSTITUTE(SUBSTITUTE(SUBSTITUTE(SUBSTITUTE(C52,".",""),"-","")," ",""),"/",""),{1,2,3,4,5,6,7,8,9},1),{10,9,8,7,6,5,4,3,2}),11)&lt;2,0,11-MOD(SUMPRODUCT(--MID(SUBSTITUTE(SUBSTITUTE(SUBSTITUTE(SUBSTITUTE(C52,".",""),"-","")," ",""),"/",""),{1,2,3,4,5,6,7,8,9},1),{10,9,8,7,6,5,4,3,2}),11)),VALUE(MID(SUBSTITUTE(SUBSTITUTE(SUBSTITUTE(SUBSTITUTE(C52,".",""),"-","")," ",""),"/",""),11,1))=IF(MOD(SUMPRODUCT(--MID(SUBSTITUTE(SUBSTITUTE(SUBSTITUTE(SUBSTITUTE(C52,".",""),"-","")," ",""),"/",""),{1,2,3,4,5,6,7,8,9,10},1),{11,10,9,8,7,6,5,4,3,2}),11)&lt;2,0,11-MOD(SUMPRODUCT(--MID(SUBSTITUTE(SUBSTITUTE(SUBSTITUTE(SUBSTITUTE(C52,".",""),"-","")," ",""),"/",""),{1,2,3,4,5,6,7,8,9,10},1),{11,10,9,8,7,6,5,4,3,2}),11))),FALSE()),AND(LEN(SUBSTITUTE(SUBSTITUTE(SUBSTITUTE(SUBSTITUTE(C52,".",""),"-","")," ",""),"/",""))=14,ISNUMBER(VALUE(SUBSTITUTE(SUBSTITUTE(SUBSTITUTE(SUBSTITUTE(C52,".",""),"-","")," ",""),"/",""))))),FALSE())),G52&gt;F52),"Revisar",IF(I52&lt;&gt;"Sim","Falta informe","OK")))</f>
        <v/>
      </c>
    </row>
    <row r="53" customFormat="false" ht="15" hidden="false" customHeight="false" outlineLevel="0" collapsed="false">
      <c r="A53" s="19"/>
      <c r="B53" s="18"/>
      <c r="C53" s="18"/>
      <c r="D53" s="18"/>
      <c r="E53" s="21" t="str">
        <f aca="false">IF(D53="","",IFERROR(VLOOKUP(D53,Listas!$A$5:$B$16,2,FALSE()),""))</f>
        <v/>
      </c>
      <c r="F53" s="22"/>
      <c r="G53" s="22"/>
      <c r="H53" s="22"/>
      <c r="I53" s="23"/>
      <c r="J53" s="18"/>
      <c r="K53" s="20" t="str">
        <f aca="false">IF(AND(A53="",B53="",D53="",F53=""),"",IF(OR(A53="",B53="",D53="",F53="",NOT(IFERROR(OR(IFERROR(AND(LEN(SUBSTITUTE(SUBSTITUTE(SUBSTITUTE(SUBSTITUTE(C53,".",""),"-","")," ",""),"/",""))=11,SUBSTITUTE(SUBSTITUTE(SUBSTITUTE(SUBSTITUTE(C53,".",""),"-","")," ",""),"/","")&lt;&gt;REPT(LEFT(SUBSTITUTE(SUBSTITUTE(SUBSTITUTE(SUBSTITUTE(C53,".",""),"-","")," ",""),"/",""),1),11),VALUE(MID(SUBSTITUTE(SUBSTITUTE(SUBSTITUTE(SUBSTITUTE(C53,".",""),"-","")," ",""),"/",""),10,1))=IF(MOD(SUMPRODUCT(--MID(SUBSTITUTE(SUBSTITUTE(SUBSTITUTE(SUBSTITUTE(C53,".",""),"-","")," ",""),"/",""),{1,2,3,4,5,6,7,8,9},1),{10,9,8,7,6,5,4,3,2}),11)&lt;2,0,11-MOD(SUMPRODUCT(--MID(SUBSTITUTE(SUBSTITUTE(SUBSTITUTE(SUBSTITUTE(C53,".",""),"-","")," ",""),"/",""),{1,2,3,4,5,6,7,8,9},1),{10,9,8,7,6,5,4,3,2}),11)),VALUE(MID(SUBSTITUTE(SUBSTITUTE(SUBSTITUTE(SUBSTITUTE(C53,".",""),"-","")," ",""),"/",""),11,1))=IF(MOD(SUMPRODUCT(--MID(SUBSTITUTE(SUBSTITUTE(SUBSTITUTE(SUBSTITUTE(C53,".",""),"-","")," ",""),"/",""),{1,2,3,4,5,6,7,8,9,10},1),{11,10,9,8,7,6,5,4,3,2}),11)&lt;2,0,11-MOD(SUMPRODUCT(--MID(SUBSTITUTE(SUBSTITUTE(SUBSTITUTE(SUBSTITUTE(C53,".",""),"-","")," ",""),"/",""),{1,2,3,4,5,6,7,8,9,10},1),{11,10,9,8,7,6,5,4,3,2}),11))),FALSE()),AND(LEN(SUBSTITUTE(SUBSTITUTE(SUBSTITUTE(SUBSTITUTE(C53,".",""),"-","")," ",""),"/",""))=14,ISNUMBER(VALUE(SUBSTITUTE(SUBSTITUTE(SUBSTITUTE(SUBSTITUTE(C53,".",""),"-","")," ",""),"/",""))))),FALSE())),G53&gt;F53),"Revisar",IF(I53&lt;&gt;"Sim","Falta informe","OK")))</f>
        <v/>
      </c>
    </row>
    <row r="54" customFormat="false" ht="15" hidden="false" customHeight="false" outlineLevel="0" collapsed="false">
      <c r="A54" s="19"/>
      <c r="B54" s="18"/>
      <c r="C54" s="18"/>
      <c r="D54" s="18"/>
      <c r="E54" s="21" t="str">
        <f aca="false">IF(D54="","",IFERROR(VLOOKUP(D54,Listas!$A$5:$B$16,2,FALSE()),""))</f>
        <v/>
      </c>
      <c r="F54" s="22"/>
      <c r="G54" s="22"/>
      <c r="H54" s="22"/>
      <c r="I54" s="23"/>
      <c r="J54" s="18"/>
      <c r="K54" s="20" t="str">
        <f aca="false">IF(AND(A54="",B54="",D54="",F54=""),"",IF(OR(A54="",B54="",D54="",F54="",NOT(IFERROR(OR(IFERROR(AND(LEN(SUBSTITUTE(SUBSTITUTE(SUBSTITUTE(SUBSTITUTE(C54,".",""),"-","")," ",""),"/",""))=11,SUBSTITUTE(SUBSTITUTE(SUBSTITUTE(SUBSTITUTE(C54,".",""),"-","")," ",""),"/","")&lt;&gt;REPT(LEFT(SUBSTITUTE(SUBSTITUTE(SUBSTITUTE(SUBSTITUTE(C54,".",""),"-","")," ",""),"/",""),1),11),VALUE(MID(SUBSTITUTE(SUBSTITUTE(SUBSTITUTE(SUBSTITUTE(C54,".",""),"-","")," ",""),"/",""),10,1))=IF(MOD(SUMPRODUCT(--MID(SUBSTITUTE(SUBSTITUTE(SUBSTITUTE(SUBSTITUTE(C54,".",""),"-","")," ",""),"/",""),{1,2,3,4,5,6,7,8,9},1),{10,9,8,7,6,5,4,3,2}),11)&lt;2,0,11-MOD(SUMPRODUCT(--MID(SUBSTITUTE(SUBSTITUTE(SUBSTITUTE(SUBSTITUTE(C54,".",""),"-","")," ",""),"/",""),{1,2,3,4,5,6,7,8,9},1),{10,9,8,7,6,5,4,3,2}),11)),VALUE(MID(SUBSTITUTE(SUBSTITUTE(SUBSTITUTE(SUBSTITUTE(C54,".",""),"-","")," ",""),"/",""),11,1))=IF(MOD(SUMPRODUCT(--MID(SUBSTITUTE(SUBSTITUTE(SUBSTITUTE(SUBSTITUTE(C54,".",""),"-","")," ",""),"/",""),{1,2,3,4,5,6,7,8,9,10},1),{11,10,9,8,7,6,5,4,3,2}),11)&lt;2,0,11-MOD(SUMPRODUCT(--MID(SUBSTITUTE(SUBSTITUTE(SUBSTITUTE(SUBSTITUTE(C54,".",""),"-","")," ",""),"/",""),{1,2,3,4,5,6,7,8,9,10},1),{11,10,9,8,7,6,5,4,3,2}),11))),FALSE()),AND(LEN(SUBSTITUTE(SUBSTITUTE(SUBSTITUTE(SUBSTITUTE(C54,".",""),"-","")," ",""),"/",""))=14,ISNUMBER(VALUE(SUBSTITUTE(SUBSTITUTE(SUBSTITUTE(SUBSTITUTE(C54,".",""),"-","")," ",""),"/",""))))),FALSE())),G54&gt;F54),"Revisar",IF(I54&lt;&gt;"Sim","Falta informe","OK")))</f>
        <v/>
      </c>
    </row>
    <row r="55" customFormat="false" ht="15" hidden="false" customHeight="false" outlineLevel="0" collapsed="false">
      <c r="A55" s="19"/>
      <c r="B55" s="18"/>
      <c r="C55" s="18"/>
      <c r="D55" s="18"/>
      <c r="E55" s="21" t="str">
        <f aca="false">IF(D55="","",IFERROR(VLOOKUP(D55,Listas!$A$5:$B$16,2,FALSE()),""))</f>
        <v/>
      </c>
      <c r="F55" s="22"/>
      <c r="G55" s="22"/>
      <c r="H55" s="22"/>
      <c r="I55" s="23"/>
      <c r="J55" s="18"/>
      <c r="K55" s="20" t="str">
        <f aca="false">IF(AND(A55="",B55="",D55="",F55=""),"",IF(OR(A55="",B55="",D55="",F55="",NOT(IFERROR(OR(IFERROR(AND(LEN(SUBSTITUTE(SUBSTITUTE(SUBSTITUTE(SUBSTITUTE(C55,".",""),"-","")," ",""),"/",""))=11,SUBSTITUTE(SUBSTITUTE(SUBSTITUTE(SUBSTITUTE(C55,".",""),"-","")," ",""),"/","")&lt;&gt;REPT(LEFT(SUBSTITUTE(SUBSTITUTE(SUBSTITUTE(SUBSTITUTE(C55,".",""),"-","")," ",""),"/",""),1),11),VALUE(MID(SUBSTITUTE(SUBSTITUTE(SUBSTITUTE(SUBSTITUTE(C55,".",""),"-","")," ",""),"/",""),10,1))=IF(MOD(SUMPRODUCT(--MID(SUBSTITUTE(SUBSTITUTE(SUBSTITUTE(SUBSTITUTE(C55,".",""),"-","")," ",""),"/",""),{1,2,3,4,5,6,7,8,9},1),{10,9,8,7,6,5,4,3,2}),11)&lt;2,0,11-MOD(SUMPRODUCT(--MID(SUBSTITUTE(SUBSTITUTE(SUBSTITUTE(SUBSTITUTE(C55,".",""),"-","")," ",""),"/",""),{1,2,3,4,5,6,7,8,9},1),{10,9,8,7,6,5,4,3,2}),11)),VALUE(MID(SUBSTITUTE(SUBSTITUTE(SUBSTITUTE(SUBSTITUTE(C55,".",""),"-","")," ",""),"/",""),11,1))=IF(MOD(SUMPRODUCT(--MID(SUBSTITUTE(SUBSTITUTE(SUBSTITUTE(SUBSTITUTE(C55,".",""),"-","")," ",""),"/",""),{1,2,3,4,5,6,7,8,9,10},1),{11,10,9,8,7,6,5,4,3,2}),11)&lt;2,0,11-MOD(SUMPRODUCT(--MID(SUBSTITUTE(SUBSTITUTE(SUBSTITUTE(SUBSTITUTE(C55,".",""),"-","")," ",""),"/",""),{1,2,3,4,5,6,7,8,9,10},1),{11,10,9,8,7,6,5,4,3,2}),11))),FALSE()),AND(LEN(SUBSTITUTE(SUBSTITUTE(SUBSTITUTE(SUBSTITUTE(C55,".",""),"-","")," ",""),"/",""))=14,ISNUMBER(VALUE(SUBSTITUTE(SUBSTITUTE(SUBSTITUTE(SUBSTITUTE(C55,".",""),"-","")," ",""),"/",""))))),FALSE())),G55&gt;F55),"Revisar",IF(I55&lt;&gt;"Sim","Falta informe","OK")))</f>
        <v/>
      </c>
    </row>
    <row r="56" customFormat="false" ht="15" hidden="false" customHeight="false" outlineLevel="0" collapsed="false">
      <c r="A56" s="19"/>
      <c r="B56" s="18"/>
      <c r="C56" s="18"/>
      <c r="D56" s="18"/>
      <c r="E56" s="21" t="str">
        <f aca="false">IF(D56="","",IFERROR(VLOOKUP(D56,Listas!$A$5:$B$16,2,FALSE()),""))</f>
        <v/>
      </c>
      <c r="F56" s="22"/>
      <c r="G56" s="22"/>
      <c r="H56" s="22"/>
      <c r="I56" s="23"/>
      <c r="J56" s="18"/>
      <c r="K56" s="20" t="str">
        <f aca="false">IF(AND(A56="",B56="",D56="",F56=""),"",IF(OR(A56="",B56="",D56="",F56="",NOT(IFERROR(OR(IFERROR(AND(LEN(SUBSTITUTE(SUBSTITUTE(SUBSTITUTE(SUBSTITUTE(C56,".",""),"-","")," ",""),"/",""))=11,SUBSTITUTE(SUBSTITUTE(SUBSTITUTE(SUBSTITUTE(C56,".",""),"-","")," ",""),"/","")&lt;&gt;REPT(LEFT(SUBSTITUTE(SUBSTITUTE(SUBSTITUTE(SUBSTITUTE(C56,".",""),"-","")," ",""),"/",""),1),11),VALUE(MID(SUBSTITUTE(SUBSTITUTE(SUBSTITUTE(SUBSTITUTE(C56,".",""),"-","")," ",""),"/",""),10,1))=IF(MOD(SUMPRODUCT(--MID(SUBSTITUTE(SUBSTITUTE(SUBSTITUTE(SUBSTITUTE(C56,".",""),"-","")," ",""),"/",""),{1,2,3,4,5,6,7,8,9},1),{10,9,8,7,6,5,4,3,2}),11)&lt;2,0,11-MOD(SUMPRODUCT(--MID(SUBSTITUTE(SUBSTITUTE(SUBSTITUTE(SUBSTITUTE(C56,".",""),"-","")," ",""),"/",""),{1,2,3,4,5,6,7,8,9},1),{10,9,8,7,6,5,4,3,2}),11)),VALUE(MID(SUBSTITUTE(SUBSTITUTE(SUBSTITUTE(SUBSTITUTE(C56,".",""),"-","")," ",""),"/",""),11,1))=IF(MOD(SUMPRODUCT(--MID(SUBSTITUTE(SUBSTITUTE(SUBSTITUTE(SUBSTITUTE(C56,".",""),"-","")," ",""),"/",""),{1,2,3,4,5,6,7,8,9,10},1),{11,10,9,8,7,6,5,4,3,2}),11)&lt;2,0,11-MOD(SUMPRODUCT(--MID(SUBSTITUTE(SUBSTITUTE(SUBSTITUTE(SUBSTITUTE(C56,".",""),"-","")," ",""),"/",""),{1,2,3,4,5,6,7,8,9,10},1),{11,10,9,8,7,6,5,4,3,2}),11))),FALSE()),AND(LEN(SUBSTITUTE(SUBSTITUTE(SUBSTITUTE(SUBSTITUTE(C56,".",""),"-","")," ",""),"/",""))=14,ISNUMBER(VALUE(SUBSTITUTE(SUBSTITUTE(SUBSTITUTE(SUBSTITUTE(C56,".",""),"-","")," ",""),"/",""))))),FALSE())),G56&gt;F56),"Revisar",IF(I56&lt;&gt;"Sim","Falta informe","OK")))</f>
        <v/>
      </c>
    </row>
    <row r="57" customFormat="false" ht="15" hidden="false" customHeight="false" outlineLevel="0" collapsed="false">
      <c r="A57" s="19"/>
      <c r="B57" s="18"/>
      <c r="C57" s="18"/>
      <c r="D57" s="18"/>
      <c r="E57" s="21" t="str">
        <f aca="false">IF(D57="","",IFERROR(VLOOKUP(D57,Listas!$A$5:$B$16,2,FALSE()),""))</f>
        <v/>
      </c>
      <c r="F57" s="22"/>
      <c r="G57" s="22"/>
      <c r="H57" s="22"/>
      <c r="I57" s="23"/>
      <c r="J57" s="18"/>
      <c r="K57" s="20" t="str">
        <f aca="false">IF(AND(A57="",B57="",D57="",F57=""),"",IF(OR(A57="",B57="",D57="",F57="",NOT(IFERROR(OR(IFERROR(AND(LEN(SUBSTITUTE(SUBSTITUTE(SUBSTITUTE(SUBSTITUTE(C57,".",""),"-","")," ",""),"/",""))=11,SUBSTITUTE(SUBSTITUTE(SUBSTITUTE(SUBSTITUTE(C57,".",""),"-","")," ",""),"/","")&lt;&gt;REPT(LEFT(SUBSTITUTE(SUBSTITUTE(SUBSTITUTE(SUBSTITUTE(C57,".",""),"-","")," ",""),"/",""),1),11),VALUE(MID(SUBSTITUTE(SUBSTITUTE(SUBSTITUTE(SUBSTITUTE(C57,".",""),"-","")," ",""),"/",""),10,1))=IF(MOD(SUMPRODUCT(--MID(SUBSTITUTE(SUBSTITUTE(SUBSTITUTE(SUBSTITUTE(C57,".",""),"-","")," ",""),"/",""),{1,2,3,4,5,6,7,8,9},1),{10,9,8,7,6,5,4,3,2}),11)&lt;2,0,11-MOD(SUMPRODUCT(--MID(SUBSTITUTE(SUBSTITUTE(SUBSTITUTE(SUBSTITUTE(C57,".",""),"-","")," ",""),"/",""),{1,2,3,4,5,6,7,8,9},1),{10,9,8,7,6,5,4,3,2}),11)),VALUE(MID(SUBSTITUTE(SUBSTITUTE(SUBSTITUTE(SUBSTITUTE(C57,".",""),"-","")," ",""),"/",""),11,1))=IF(MOD(SUMPRODUCT(--MID(SUBSTITUTE(SUBSTITUTE(SUBSTITUTE(SUBSTITUTE(C57,".",""),"-","")," ",""),"/",""),{1,2,3,4,5,6,7,8,9,10},1),{11,10,9,8,7,6,5,4,3,2}),11)&lt;2,0,11-MOD(SUMPRODUCT(--MID(SUBSTITUTE(SUBSTITUTE(SUBSTITUTE(SUBSTITUTE(C57,".",""),"-","")," ",""),"/",""),{1,2,3,4,5,6,7,8,9,10},1),{11,10,9,8,7,6,5,4,3,2}),11))),FALSE()),AND(LEN(SUBSTITUTE(SUBSTITUTE(SUBSTITUTE(SUBSTITUTE(C57,".",""),"-","")," ",""),"/",""))=14,ISNUMBER(VALUE(SUBSTITUTE(SUBSTITUTE(SUBSTITUTE(SUBSTITUTE(C57,".",""),"-","")," ",""),"/",""))))),FALSE())),G57&gt;F57),"Revisar",IF(I57&lt;&gt;"Sim","Falta informe","OK")))</f>
        <v/>
      </c>
    </row>
    <row r="58" customFormat="false" ht="15" hidden="false" customHeight="false" outlineLevel="0" collapsed="false">
      <c r="A58" s="19"/>
      <c r="B58" s="18"/>
      <c r="C58" s="18"/>
      <c r="D58" s="18"/>
      <c r="E58" s="21" t="str">
        <f aca="false">IF(D58="","",IFERROR(VLOOKUP(D58,Listas!$A$5:$B$16,2,FALSE()),""))</f>
        <v/>
      </c>
      <c r="F58" s="22"/>
      <c r="G58" s="22"/>
      <c r="H58" s="22"/>
      <c r="I58" s="23"/>
      <c r="J58" s="18"/>
      <c r="K58" s="20" t="str">
        <f aca="false">IF(AND(A58="",B58="",D58="",F58=""),"",IF(OR(A58="",B58="",D58="",F58="",NOT(IFERROR(OR(IFERROR(AND(LEN(SUBSTITUTE(SUBSTITUTE(SUBSTITUTE(SUBSTITUTE(C58,".",""),"-","")," ",""),"/",""))=11,SUBSTITUTE(SUBSTITUTE(SUBSTITUTE(SUBSTITUTE(C58,".",""),"-","")," ",""),"/","")&lt;&gt;REPT(LEFT(SUBSTITUTE(SUBSTITUTE(SUBSTITUTE(SUBSTITUTE(C58,".",""),"-","")," ",""),"/",""),1),11),VALUE(MID(SUBSTITUTE(SUBSTITUTE(SUBSTITUTE(SUBSTITUTE(C58,".",""),"-","")," ",""),"/",""),10,1))=IF(MOD(SUMPRODUCT(--MID(SUBSTITUTE(SUBSTITUTE(SUBSTITUTE(SUBSTITUTE(C58,".",""),"-","")," ",""),"/",""),{1,2,3,4,5,6,7,8,9},1),{10,9,8,7,6,5,4,3,2}),11)&lt;2,0,11-MOD(SUMPRODUCT(--MID(SUBSTITUTE(SUBSTITUTE(SUBSTITUTE(SUBSTITUTE(C58,".",""),"-","")," ",""),"/",""),{1,2,3,4,5,6,7,8,9},1),{10,9,8,7,6,5,4,3,2}),11)),VALUE(MID(SUBSTITUTE(SUBSTITUTE(SUBSTITUTE(SUBSTITUTE(C58,".",""),"-","")," ",""),"/",""),11,1))=IF(MOD(SUMPRODUCT(--MID(SUBSTITUTE(SUBSTITUTE(SUBSTITUTE(SUBSTITUTE(C58,".",""),"-","")," ",""),"/",""),{1,2,3,4,5,6,7,8,9,10},1),{11,10,9,8,7,6,5,4,3,2}),11)&lt;2,0,11-MOD(SUMPRODUCT(--MID(SUBSTITUTE(SUBSTITUTE(SUBSTITUTE(SUBSTITUTE(C58,".",""),"-","")," ",""),"/",""),{1,2,3,4,5,6,7,8,9,10},1),{11,10,9,8,7,6,5,4,3,2}),11))),FALSE()),AND(LEN(SUBSTITUTE(SUBSTITUTE(SUBSTITUTE(SUBSTITUTE(C58,".",""),"-","")," ",""),"/",""))=14,ISNUMBER(VALUE(SUBSTITUTE(SUBSTITUTE(SUBSTITUTE(SUBSTITUTE(C58,".",""),"-","")," ",""),"/",""))))),FALSE())),G58&gt;F58),"Revisar",IF(I58&lt;&gt;"Sim","Falta informe","OK")))</f>
        <v/>
      </c>
    </row>
    <row r="59" customFormat="false" ht="15" hidden="false" customHeight="false" outlineLevel="0" collapsed="false">
      <c r="A59" s="19"/>
      <c r="B59" s="18"/>
      <c r="C59" s="18"/>
      <c r="D59" s="18"/>
      <c r="E59" s="21" t="str">
        <f aca="false">IF(D59="","",IFERROR(VLOOKUP(D59,Listas!$A$5:$B$16,2,FALSE()),""))</f>
        <v/>
      </c>
      <c r="F59" s="22"/>
      <c r="G59" s="22"/>
      <c r="H59" s="22"/>
      <c r="I59" s="23"/>
      <c r="J59" s="18"/>
      <c r="K59" s="20" t="str">
        <f aca="false">IF(AND(A59="",B59="",D59="",F59=""),"",IF(OR(A59="",B59="",D59="",F59="",NOT(IFERROR(OR(IFERROR(AND(LEN(SUBSTITUTE(SUBSTITUTE(SUBSTITUTE(SUBSTITUTE(C59,".",""),"-","")," ",""),"/",""))=11,SUBSTITUTE(SUBSTITUTE(SUBSTITUTE(SUBSTITUTE(C59,".",""),"-","")," ",""),"/","")&lt;&gt;REPT(LEFT(SUBSTITUTE(SUBSTITUTE(SUBSTITUTE(SUBSTITUTE(C59,".",""),"-","")," ",""),"/",""),1),11),VALUE(MID(SUBSTITUTE(SUBSTITUTE(SUBSTITUTE(SUBSTITUTE(C59,".",""),"-","")," ",""),"/",""),10,1))=IF(MOD(SUMPRODUCT(--MID(SUBSTITUTE(SUBSTITUTE(SUBSTITUTE(SUBSTITUTE(C59,".",""),"-","")," ",""),"/",""),{1,2,3,4,5,6,7,8,9},1),{10,9,8,7,6,5,4,3,2}),11)&lt;2,0,11-MOD(SUMPRODUCT(--MID(SUBSTITUTE(SUBSTITUTE(SUBSTITUTE(SUBSTITUTE(C59,".",""),"-","")," ",""),"/",""),{1,2,3,4,5,6,7,8,9},1),{10,9,8,7,6,5,4,3,2}),11)),VALUE(MID(SUBSTITUTE(SUBSTITUTE(SUBSTITUTE(SUBSTITUTE(C59,".",""),"-","")," ",""),"/",""),11,1))=IF(MOD(SUMPRODUCT(--MID(SUBSTITUTE(SUBSTITUTE(SUBSTITUTE(SUBSTITUTE(C59,".",""),"-","")," ",""),"/",""),{1,2,3,4,5,6,7,8,9,10},1),{11,10,9,8,7,6,5,4,3,2}),11)&lt;2,0,11-MOD(SUMPRODUCT(--MID(SUBSTITUTE(SUBSTITUTE(SUBSTITUTE(SUBSTITUTE(C59,".",""),"-","")," ",""),"/",""),{1,2,3,4,5,6,7,8,9,10},1),{11,10,9,8,7,6,5,4,3,2}),11))),FALSE()),AND(LEN(SUBSTITUTE(SUBSTITUTE(SUBSTITUTE(SUBSTITUTE(C59,".",""),"-","")," ",""),"/",""))=14,ISNUMBER(VALUE(SUBSTITUTE(SUBSTITUTE(SUBSTITUTE(SUBSTITUTE(C59,".",""),"-","")," ",""),"/",""))))),FALSE())),G59&gt;F59),"Revisar",IF(I59&lt;&gt;"Sim","Falta informe","OK")))</f>
        <v/>
      </c>
    </row>
    <row r="60" customFormat="false" ht="15" hidden="false" customHeight="false" outlineLevel="0" collapsed="false">
      <c r="A60" s="19"/>
      <c r="B60" s="18"/>
      <c r="C60" s="18"/>
      <c r="D60" s="18"/>
      <c r="E60" s="21" t="str">
        <f aca="false">IF(D60="","",IFERROR(VLOOKUP(D60,Listas!$A$5:$B$16,2,FALSE()),""))</f>
        <v/>
      </c>
      <c r="F60" s="22"/>
      <c r="G60" s="22"/>
      <c r="H60" s="22"/>
      <c r="I60" s="23"/>
      <c r="J60" s="18"/>
      <c r="K60" s="20" t="str">
        <f aca="false">IF(AND(A60="",B60="",D60="",F60=""),"",IF(OR(A60="",B60="",D60="",F60="",NOT(IFERROR(OR(IFERROR(AND(LEN(SUBSTITUTE(SUBSTITUTE(SUBSTITUTE(SUBSTITUTE(C60,".",""),"-","")," ",""),"/",""))=11,SUBSTITUTE(SUBSTITUTE(SUBSTITUTE(SUBSTITUTE(C60,".",""),"-","")," ",""),"/","")&lt;&gt;REPT(LEFT(SUBSTITUTE(SUBSTITUTE(SUBSTITUTE(SUBSTITUTE(C60,".",""),"-","")," ",""),"/",""),1),11),VALUE(MID(SUBSTITUTE(SUBSTITUTE(SUBSTITUTE(SUBSTITUTE(C60,".",""),"-","")," ",""),"/",""),10,1))=IF(MOD(SUMPRODUCT(--MID(SUBSTITUTE(SUBSTITUTE(SUBSTITUTE(SUBSTITUTE(C60,".",""),"-","")," ",""),"/",""),{1,2,3,4,5,6,7,8,9},1),{10,9,8,7,6,5,4,3,2}),11)&lt;2,0,11-MOD(SUMPRODUCT(--MID(SUBSTITUTE(SUBSTITUTE(SUBSTITUTE(SUBSTITUTE(C60,".",""),"-","")," ",""),"/",""),{1,2,3,4,5,6,7,8,9},1),{10,9,8,7,6,5,4,3,2}),11)),VALUE(MID(SUBSTITUTE(SUBSTITUTE(SUBSTITUTE(SUBSTITUTE(C60,".",""),"-","")," ",""),"/",""),11,1))=IF(MOD(SUMPRODUCT(--MID(SUBSTITUTE(SUBSTITUTE(SUBSTITUTE(SUBSTITUTE(C60,".",""),"-","")," ",""),"/",""),{1,2,3,4,5,6,7,8,9,10},1),{11,10,9,8,7,6,5,4,3,2}),11)&lt;2,0,11-MOD(SUMPRODUCT(--MID(SUBSTITUTE(SUBSTITUTE(SUBSTITUTE(SUBSTITUTE(C60,".",""),"-","")," ",""),"/",""),{1,2,3,4,5,6,7,8,9,10},1),{11,10,9,8,7,6,5,4,3,2}),11))),FALSE()),AND(LEN(SUBSTITUTE(SUBSTITUTE(SUBSTITUTE(SUBSTITUTE(C60,".",""),"-","")," ",""),"/",""))=14,ISNUMBER(VALUE(SUBSTITUTE(SUBSTITUTE(SUBSTITUTE(SUBSTITUTE(C60,".",""),"-","")," ",""),"/",""))))),FALSE())),G60&gt;F60),"Revisar",IF(I60&lt;&gt;"Sim","Falta informe","OK")))</f>
        <v/>
      </c>
    </row>
    <row r="61" customFormat="false" ht="15" hidden="false" customHeight="false" outlineLevel="0" collapsed="false">
      <c r="A61" s="19"/>
      <c r="B61" s="18"/>
      <c r="C61" s="18"/>
      <c r="D61" s="18"/>
      <c r="E61" s="21" t="str">
        <f aca="false">IF(D61="","",IFERROR(VLOOKUP(D61,Listas!$A$5:$B$16,2,FALSE()),""))</f>
        <v/>
      </c>
      <c r="F61" s="22"/>
      <c r="G61" s="22"/>
      <c r="H61" s="22"/>
      <c r="I61" s="23"/>
      <c r="J61" s="18"/>
      <c r="K61" s="20" t="str">
        <f aca="false">IF(AND(A61="",B61="",D61="",F61=""),"",IF(OR(A61="",B61="",D61="",F61="",NOT(IFERROR(OR(IFERROR(AND(LEN(SUBSTITUTE(SUBSTITUTE(SUBSTITUTE(SUBSTITUTE(C61,".",""),"-","")," ",""),"/",""))=11,SUBSTITUTE(SUBSTITUTE(SUBSTITUTE(SUBSTITUTE(C61,".",""),"-","")," ",""),"/","")&lt;&gt;REPT(LEFT(SUBSTITUTE(SUBSTITUTE(SUBSTITUTE(SUBSTITUTE(C61,".",""),"-","")," ",""),"/",""),1),11),VALUE(MID(SUBSTITUTE(SUBSTITUTE(SUBSTITUTE(SUBSTITUTE(C61,".",""),"-","")," ",""),"/",""),10,1))=IF(MOD(SUMPRODUCT(--MID(SUBSTITUTE(SUBSTITUTE(SUBSTITUTE(SUBSTITUTE(C61,".",""),"-","")," ",""),"/",""),{1,2,3,4,5,6,7,8,9},1),{10,9,8,7,6,5,4,3,2}),11)&lt;2,0,11-MOD(SUMPRODUCT(--MID(SUBSTITUTE(SUBSTITUTE(SUBSTITUTE(SUBSTITUTE(C61,".",""),"-","")," ",""),"/",""),{1,2,3,4,5,6,7,8,9},1),{10,9,8,7,6,5,4,3,2}),11)),VALUE(MID(SUBSTITUTE(SUBSTITUTE(SUBSTITUTE(SUBSTITUTE(C61,".",""),"-","")," ",""),"/",""),11,1))=IF(MOD(SUMPRODUCT(--MID(SUBSTITUTE(SUBSTITUTE(SUBSTITUTE(SUBSTITUTE(C61,".",""),"-","")," ",""),"/",""),{1,2,3,4,5,6,7,8,9,10},1),{11,10,9,8,7,6,5,4,3,2}),11)&lt;2,0,11-MOD(SUMPRODUCT(--MID(SUBSTITUTE(SUBSTITUTE(SUBSTITUTE(SUBSTITUTE(C61,".",""),"-","")," ",""),"/",""),{1,2,3,4,5,6,7,8,9,10},1),{11,10,9,8,7,6,5,4,3,2}),11))),FALSE()),AND(LEN(SUBSTITUTE(SUBSTITUTE(SUBSTITUTE(SUBSTITUTE(C61,".",""),"-","")," ",""),"/",""))=14,ISNUMBER(VALUE(SUBSTITUTE(SUBSTITUTE(SUBSTITUTE(SUBSTITUTE(C61,".",""),"-","")," ",""),"/",""))))),FALSE())),G61&gt;F61),"Revisar",IF(I61&lt;&gt;"Sim","Falta informe","OK")))</f>
        <v/>
      </c>
    </row>
    <row r="62" customFormat="false" ht="15" hidden="false" customHeight="false" outlineLevel="0" collapsed="false">
      <c r="A62" s="19"/>
      <c r="B62" s="18"/>
      <c r="C62" s="18"/>
      <c r="D62" s="18"/>
      <c r="E62" s="21" t="str">
        <f aca="false">IF(D62="","",IFERROR(VLOOKUP(D62,Listas!$A$5:$B$16,2,FALSE()),""))</f>
        <v/>
      </c>
      <c r="F62" s="22"/>
      <c r="G62" s="22"/>
      <c r="H62" s="22"/>
      <c r="I62" s="23"/>
      <c r="J62" s="18"/>
      <c r="K62" s="20" t="str">
        <f aca="false">IF(AND(A62="",B62="",D62="",F62=""),"",IF(OR(A62="",B62="",D62="",F62="",NOT(IFERROR(OR(IFERROR(AND(LEN(SUBSTITUTE(SUBSTITUTE(SUBSTITUTE(SUBSTITUTE(C62,".",""),"-","")," ",""),"/",""))=11,SUBSTITUTE(SUBSTITUTE(SUBSTITUTE(SUBSTITUTE(C62,".",""),"-","")," ",""),"/","")&lt;&gt;REPT(LEFT(SUBSTITUTE(SUBSTITUTE(SUBSTITUTE(SUBSTITUTE(C62,".",""),"-","")," ",""),"/",""),1),11),VALUE(MID(SUBSTITUTE(SUBSTITUTE(SUBSTITUTE(SUBSTITUTE(C62,".",""),"-","")," ",""),"/",""),10,1))=IF(MOD(SUMPRODUCT(--MID(SUBSTITUTE(SUBSTITUTE(SUBSTITUTE(SUBSTITUTE(C62,".",""),"-","")," ",""),"/",""),{1,2,3,4,5,6,7,8,9},1),{10,9,8,7,6,5,4,3,2}),11)&lt;2,0,11-MOD(SUMPRODUCT(--MID(SUBSTITUTE(SUBSTITUTE(SUBSTITUTE(SUBSTITUTE(C62,".",""),"-","")," ",""),"/",""),{1,2,3,4,5,6,7,8,9},1),{10,9,8,7,6,5,4,3,2}),11)),VALUE(MID(SUBSTITUTE(SUBSTITUTE(SUBSTITUTE(SUBSTITUTE(C62,".",""),"-","")," ",""),"/",""),11,1))=IF(MOD(SUMPRODUCT(--MID(SUBSTITUTE(SUBSTITUTE(SUBSTITUTE(SUBSTITUTE(C62,".",""),"-","")," ",""),"/",""),{1,2,3,4,5,6,7,8,9,10},1),{11,10,9,8,7,6,5,4,3,2}),11)&lt;2,0,11-MOD(SUMPRODUCT(--MID(SUBSTITUTE(SUBSTITUTE(SUBSTITUTE(SUBSTITUTE(C62,".",""),"-","")," ",""),"/",""),{1,2,3,4,5,6,7,8,9,10},1),{11,10,9,8,7,6,5,4,3,2}),11))),FALSE()),AND(LEN(SUBSTITUTE(SUBSTITUTE(SUBSTITUTE(SUBSTITUTE(C62,".",""),"-","")," ",""),"/",""))=14,ISNUMBER(VALUE(SUBSTITUTE(SUBSTITUTE(SUBSTITUTE(SUBSTITUTE(C62,".",""),"-","")," ",""),"/",""))))),FALSE())),G62&gt;F62),"Revisar",IF(I62&lt;&gt;"Sim","Falta informe","OK")))</f>
        <v/>
      </c>
    </row>
    <row r="63" customFormat="false" ht="15" hidden="false" customHeight="false" outlineLevel="0" collapsed="false">
      <c r="A63" s="19"/>
      <c r="B63" s="18"/>
      <c r="C63" s="18"/>
      <c r="D63" s="18"/>
      <c r="E63" s="21" t="str">
        <f aca="false">IF(D63="","",IFERROR(VLOOKUP(D63,Listas!$A$5:$B$16,2,FALSE()),""))</f>
        <v/>
      </c>
      <c r="F63" s="22"/>
      <c r="G63" s="22"/>
      <c r="H63" s="22"/>
      <c r="I63" s="23"/>
      <c r="J63" s="18"/>
      <c r="K63" s="20" t="str">
        <f aca="false">IF(AND(A63="",B63="",D63="",F63=""),"",IF(OR(A63="",B63="",D63="",F63="",NOT(IFERROR(OR(IFERROR(AND(LEN(SUBSTITUTE(SUBSTITUTE(SUBSTITUTE(SUBSTITUTE(C63,".",""),"-","")," ",""),"/",""))=11,SUBSTITUTE(SUBSTITUTE(SUBSTITUTE(SUBSTITUTE(C63,".",""),"-","")," ",""),"/","")&lt;&gt;REPT(LEFT(SUBSTITUTE(SUBSTITUTE(SUBSTITUTE(SUBSTITUTE(C63,".",""),"-","")," ",""),"/",""),1),11),VALUE(MID(SUBSTITUTE(SUBSTITUTE(SUBSTITUTE(SUBSTITUTE(C63,".",""),"-","")," ",""),"/",""),10,1))=IF(MOD(SUMPRODUCT(--MID(SUBSTITUTE(SUBSTITUTE(SUBSTITUTE(SUBSTITUTE(C63,".",""),"-","")," ",""),"/",""),{1,2,3,4,5,6,7,8,9},1),{10,9,8,7,6,5,4,3,2}),11)&lt;2,0,11-MOD(SUMPRODUCT(--MID(SUBSTITUTE(SUBSTITUTE(SUBSTITUTE(SUBSTITUTE(C63,".",""),"-","")," ",""),"/",""),{1,2,3,4,5,6,7,8,9},1),{10,9,8,7,6,5,4,3,2}),11)),VALUE(MID(SUBSTITUTE(SUBSTITUTE(SUBSTITUTE(SUBSTITUTE(C63,".",""),"-","")," ",""),"/",""),11,1))=IF(MOD(SUMPRODUCT(--MID(SUBSTITUTE(SUBSTITUTE(SUBSTITUTE(SUBSTITUTE(C63,".",""),"-","")," ",""),"/",""),{1,2,3,4,5,6,7,8,9,10},1),{11,10,9,8,7,6,5,4,3,2}),11)&lt;2,0,11-MOD(SUMPRODUCT(--MID(SUBSTITUTE(SUBSTITUTE(SUBSTITUTE(SUBSTITUTE(C63,".",""),"-","")," ",""),"/",""),{1,2,3,4,5,6,7,8,9,10},1),{11,10,9,8,7,6,5,4,3,2}),11))),FALSE()),AND(LEN(SUBSTITUTE(SUBSTITUTE(SUBSTITUTE(SUBSTITUTE(C63,".",""),"-","")," ",""),"/",""))=14,ISNUMBER(VALUE(SUBSTITUTE(SUBSTITUTE(SUBSTITUTE(SUBSTITUTE(C63,".",""),"-","")," ",""),"/",""))))),FALSE())),G63&gt;F63),"Revisar",IF(I63&lt;&gt;"Sim","Falta informe","OK")))</f>
        <v/>
      </c>
    </row>
    <row r="64" customFormat="false" ht="15" hidden="false" customHeight="false" outlineLevel="0" collapsed="false">
      <c r="A64" s="19"/>
      <c r="B64" s="18"/>
      <c r="C64" s="18"/>
      <c r="D64" s="18"/>
      <c r="E64" s="21" t="str">
        <f aca="false">IF(D64="","",IFERROR(VLOOKUP(D64,Listas!$A$5:$B$16,2,FALSE()),""))</f>
        <v/>
      </c>
      <c r="F64" s="22"/>
      <c r="G64" s="22"/>
      <c r="H64" s="22"/>
      <c r="I64" s="23"/>
      <c r="J64" s="18"/>
      <c r="K64" s="20" t="str">
        <f aca="false">IF(AND(A64="",B64="",D64="",F64=""),"",IF(OR(A64="",B64="",D64="",F64="",NOT(IFERROR(OR(IFERROR(AND(LEN(SUBSTITUTE(SUBSTITUTE(SUBSTITUTE(SUBSTITUTE(C64,".",""),"-","")," ",""),"/",""))=11,SUBSTITUTE(SUBSTITUTE(SUBSTITUTE(SUBSTITUTE(C64,".",""),"-","")," ",""),"/","")&lt;&gt;REPT(LEFT(SUBSTITUTE(SUBSTITUTE(SUBSTITUTE(SUBSTITUTE(C64,".",""),"-","")," ",""),"/",""),1),11),VALUE(MID(SUBSTITUTE(SUBSTITUTE(SUBSTITUTE(SUBSTITUTE(C64,".",""),"-","")," ",""),"/",""),10,1))=IF(MOD(SUMPRODUCT(--MID(SUBSTITUTE(SUBSTITUTE(SUBSTITUTE(SUBSTITUTE(C64,".",""),"-","")," ",""),"/",""),{1,2,3,4,5,6,7,8,9},1),{10,9,8,7,6,5,4,3,2}),11)&lt;2,0,11-MOD(SUMPRODUCT(--MID(SUBSTITUTE(SUBSTITUTE(SUBSTITUTE(SUBSTITUTE(C64,".",""),"-","")," ",""),"/",""),{1,2,3,4,5,6,7,8,9},1),{10,9,8,7,6,5,4,3,2}),11)),VALUE(MID(SUBSTITUTE(SUBSTITUTE(SUBSTITUTE(SUBSTITUTE(C64,".",""),"-","")," ",""),"/",""),11,1))=IF(MOD(SUMPRODUCT(--MID(SUBSTITUTE(SUBSTITUTE(SUBSTITUTE(SUBSTITUTE(C64,".",""),"-","")," ",""),"/",""),{1,2,3,4,5,6,7,8,9,10},1),{11,10,9,8,7,6,5,4,3,2}),11)&lt;2,0,11-MOD(SUMPRODUCT(--MID(SUBSTITUTE(SUBSTITUTE(SUBSTITUTE(SUBSTITUTE(C64,".",""),"-","")," ",""),"/",""),{1,2,3,4,5,6,7,8,9,10},1),{11,10,9,8,7,6,5,4,3,2}),11))),FALSE()),AND(LEN(SUBSTITUTE(SUBSTITUTE(SUBSTITUTE(SUBSTITUTE(C64,".",""),"-","")," ",""),"/",""))=14,ISNUMBER(VALUE(SUBSTITUTE(SUBSTITUTE(SUBSTITUTE(SUBSTITUTE(C64,".",""),"-","")," ",""),"/",""))))),FALSE())),G64&gt;F64),"Revisar",IF(I64&lt;&gt;"Sim","Falta informe","OK")))</f>
        <v/>
      </c>
    </row>
    <row r="65" customFormat="false" ht="15" hidden="false" customHeight="false" outlineLevel="0" collapsed="false">
      <c r="A65" s="19"/>
      <c r="B65" s="18"/>
      <c r="C65" s="18"/>
      <c r="D65" s="18"/>
      <c r="E65" s="21" t="str">
        <f aca="false">IF(D65="","",IFERROR(VLOOKUP(D65,Listas!$A$5:$B$16,2,FALSE()),""))</f>
        <v/>
      </c>
      <c r="F65" s="22"/>
      <c r="G65" s="22"/>
      <c r="H65" s="22"/>
      <c r="I65" s="23"/>
      <c r="J65" s="18"/>
      <c r="K65" s="20" t="str">
        <f aca="false">IF(AND(A65="",B65="",D65="",F65=""),"",IF(OR(A65="",B65="",D65="",F65="",NOT(IFERROR(OR(IFERROR(AND(LEN(SUBSTITUTE(SUBSTITUTE(SUBSTITUTE(SUBSTITUTE(C65,".",""),"-","")," ",""),"/",""))=11,SUBSTITUTE(SUBSTITUTE(SUBSTITUTE(SUBSTITUTE(C65,".",""),"-","")," ",""),"/","")&lt;&gt;REPT(LEFT(SUBSTITUTE(SUBSTITUTE(SUBSTITUTE(SUBSTITUTE(C65,".",""),"-","")," ",""),"/",""),1),11),VALUE(MID(SUBSTITUTE(SUBSTITUTE(SUBSTITUTE(SUBSTITUTE(C65,".",""),"-","")," ",""),"/",""),10,1))=IF(MOD(SUMPRODUCT(--MID(SUBSTITUTE(SUBSTITUTE(SUBSTITUTE(SUBSTITUTE(C65,".",""),"-","")," ",""),"/",""),{1,2,3,4,5,6,7,8,9},1),{10,9,8,7,6,5,4,3,2}),11)&lt;2,0,11-MOD(SUMPRODUCT(--MID(SUBSTITUTE(SUBSTITUTE(SUBSTITUTE(SUBSTITUTE(C65,".",""),"-","")," ",""),"/",""),{1,2,3,4,5,6,7,8,9},1),{10,9,8,7,6,5,4,3,2}),11)),VALUE(MID(SUBSTITUTE(SUBSTITUTE(SUBSTITUTE(SUBSTITUTE(C65,".",""),"-","")," ",""),"/",""),11,1))=IF(MOD(SUMPRODUCT(--MID(SUBSTITUTE(SUBSTITUTE(SUBSTITUTE(SUBSTITUTE(C65,".",""),"-","")," ",""),"/",""),{1,2,3,4,5,6,7,8,9,10},1),{11,10,9,8,7,6,5,4,3,2}),11)&lt;2,0,11-MOD(SUMPRODUCT(--MID(SUBSTITUTE(SUBSTITUTE(SUBSTITUTE(SUBSTITUTE(C65,".",""),"-","")," ",""),"/",""),{1,2,3,4,5,6,7,8,9,10},1),{11,10,9,8,7,6,5,4,3,2}),11))),FALSE()),AND(LEN(SUBSTITUTE(SUBSTITUTE(SUBSTITUTE(SUBSTITUTE(C65,".",""),"-","")," ",""),"/",""))=14,ISNUMBER(VALUE(SUBSTITUTE(SUBSTITUTE(SUBSTITUTE(SUBSTITUTE(C65,".",""),"-","")," ",""),"/",""))))),FALSE())),G65&gt;F65),"Revisar",IF(I65&lt;&gt;"Sim","Falta informe","OK")))</f>
        <v/>
      </c>
    </row>
    <row r="66" customFormat="false" ht="15" hidden="false" customHeight="false" outlineLevel="0" collapsed="false">
      <c r="A66" s="19"/>
      <c r="B66" s="18"/>
      <c r="C66" s="18"/>
      <c r="D66" s="18"/>
      <c r="E66" s="21" t="str">
        <f aca="false">IF(D66="","",IFERROR(VLOOKUP(D66,Listas!$A$5:$B$16,2,FALSE()),""))</f>
        <v/>
      </c>
      <c r="F66" s="22"/>
      <c r="G66" s="22"/>
      <c r="H66" s="22"/>
      <c r="I66" s="23"/>
      <c r="J66" s="18"/>
      <c r="K66" s="20" t="str">
        <f aca="false">IF(AND(A66="",B66="",D66="",F66=""),"",IF(OR(A66="",B66="",D66="",F66="",NOT(IFERROR(OR(IFERROR(AND(LEN(SUBSTITUTE(SUBSTITUTE(SUBSTITUTE(SUBSTITUTE(C66,".",""),"-","")," ",""),"/",""))=11,SUBSTITUTE(SUBSTITUTE(SUBSTITUTE(SUBSTITUTE(C66,".",""),"-","")," ",""),"/","")&lt;&gt;REPT(LEFT(SUBSTITUTE(SUBSTITUTE(SUBSTITUTE(SUBSTITUTE(C66,".",""),"-","")," ",""),"/",""),1),11),VALUE(MID(SUBSTITUTE(SUBSTITUTE(SUBSTITUTE(SUBSTITUTE(C66,".",""),"-","")," ",""),"/",""),10,1))=IF(MOD(SUMPRODUCT(--MID(SUBSTITUTE(SUBSTITUTE(SUBSTITUTE(SUBSTITUTE(C66,".",""),"-","")," ",""),"/",""),{1,2,3,4,5,6,7,8,9},1),{10,9,8,7,6,5,4,3,2}),11)&lt;2,0,11-MOD(SUMPRODUCT(--MID(SUBSTITUTE(SUBSTITUTE(SUBSTITUTE(SUBSTITUTE(C66,".",""),"-","")," ",""),"/",""),{1,2,3,4,5,6,7,8,9},1),{10,9,8,7,6,5,4,3,2}),11)),VALUE(MID(SUBSTITUTE(SUBSTITUTE(SUBSTITUTE(SUBSTITUTE(C66,".",""),"-","")," ",""),"/",""),11,1))=IF(MOD(SUMPRODUCT(--MID(SUBSTITUTE(SUBSTITUTE(SUBSTITUTE(SUBSTITUTE(C66,".",""),"-","")," ",""),"/",""),{1,2,3,4,5,6,7,8,9,10},1),{11,10,9,8,7,6,5,4,3,2}),11)&lt;2,0,11-MOD(SUMPRODUCT(--MID(SUBSTITUTE(SUBSTITUTE(SUBSTITUTE(SUBSTITUTE(C66,".",""),"-","")," ",""),"/",""),{1,2,3,4,5,6,7,8,9,10},1),{11,10,9,8,7,6,5,4,3,2}),11))),FALSE()),AND(LEN(SUBSTITUTE(SUBSTITUTE(SUBSTITUTE(SUBSTITUTE(C66,".",""),"-","")," ",""),"/",""))=14,ISNUMBER(VALUE(SUBSTITUTE(SUBSTITUTE(SUBSTITUTE(SUBSTITUTE(C66,".",""),"-","")," ",""),"/",""))))),FALSE())),G66&gt;F66),"Revisar",IF(I66&lt;&gt;"Sim","Falta informe","OK")))</f>
        <v/>
      </c>
    </row>
    <row r="67" customFormat="false" ht="15" hidden="false" customHeight="false" outlineLevel="0" collapsed="false">
      <c r="A67" s="19"/>
      <c r="B67" s="18"/>
      <c r="C67" s="18"/>
      <c r="D67" s="18"/>
      <c r="E67" s="21" t="str">
        <f aca="false">IF(D67="","",IFERROR(VLOOKUP(D67,Listas!$A$5:$B$16,2,FALSE()),""))</f>
        <v/>
      </c>
      <c r="F67" s="22"/>
      <c r="G67" s="22"/>
      <c r="H67" s="22"/>
      <c r="I67" s="23"/>
      <c r="J67" s="18"/>
      <c r="K67" s="20" t="str">
        <f aca="false">IF(AND(A67="",B67="",D67="",F67=""),"",IF(OR(A67="",B67="",D67="",F67="",NOT(IFERROR(OR(IFERROR(AND(LEN(SUBSTITUTE(SUBSTITUTE(SUBSTITUTE(SUBSTITUTE(C67,".",""),"-","")," ",""),"/",""))=11,SUBSTITUTE(SUBSTITUTE(SUBSTITUTE(SUBSTITUTE(C67,".",""),"-","")," ",""),"/","")&lt;&gt;REPT(LEFT(SUBSTITUTE(SUBSTITUTE(SUBSTITUTE(SUBSTITUTE(C67,".",""),"-","")," ",""),"/",""),1),11),VALUE(MID(SUBSTITUTE(SUBSTITUTE(SUBSTITUTE(SUBSTITUTE(C67,".",""),"-","")," ",""),"/",""),10,1))=IF(MOD(SUMPRODUCT(--MID(SUBSTITUTE(SUBSTITUTE(SUBSTITUTE(SUBSTITUTE(C67,".",""),"-","")," ",""),"/",""),{1,2,3,4,5,6,7,8,9},1),{10,9,8,7,6,5,4,3,2}),11)&lt;2,0,11-MOD(SUMPRODUCT(--MID(SUBSTITUTE(SUBSTITUTE(SUBSTITUTE(SUBSTITUTE(C67,".",""),"-","")," ",""),"/",""),{1,2,3,4,5,6,7,8,9},1),{10,9,8,7,6,5,4,3,2}),11)),VALUE(MID(SUBSTITUTE(SUBSTITUTE(SUBSTITUTE(SUBSTITUTE(C67,".",""),"-","")," ",""),"/",""),11,1))=IF(MOD(SUMPRODUCT(--MID(SUBSTITUTE(SUBSTITUTE(SUBSTITUTE(SUBSTITUTE(C67,".",""),"-","")," ",""),"/",""),{1,2,3,4,5,6,7,8,9,10},1),{11,10,9,8,7,6,5,4,3,2}),11)&lt;2,0,11-MOD(SUMPRODUCT(--MID(SUBSTITUTE(SUBSTITUTE(SUBSTITUTE(SUBSTITUTE(C67,".",""),"-","")," ",""),"/",""),{1,2,3,4,5,6,7,8,9,10},1),{11,10,9,8,7,6,5,4,3,2}),11))),FALSE()),AND(LEN(SUBSTITUTE(SUBSTITUTE(SUBSTITUTE(SUBSTITUTE(C67,".",""),"-","")," ",""),"/",""))=14,ISNUMBER(VALUE(SUBSTITUTE(SUBSTITUTE(SUBSTITUTE(SUBSTITUTE(C67,".",""),"-","")," ",""),"/",""))))),FALSE())),G67&gt;F67),"Revisar",IF(I67&lt;&gt;"Sim","Falta informe","OK")))</f>
        <v/>
      </c>
    </row>
    <row r="68" customFormat="false" ht="15" hidden="false" customHeight="false" outlineLevel="0" collapsed="false">
      <c r="A68" s="19"/>
      <c r="B68" s="18"/>
      <c r="C68" s="18"/>
      <c r="D68" s="18"/>
      <c r="E68" s="21" t="str">
        <f aca="false">IF(D68="","",IFERROR(VLOOKUP(D68,Listas!$A$5:$B$16,2,FALSE()),""))</f>
        <v/>
      </c>
      <c r="F68" s="22"/>
      <c r="G68" s="22"/>
      <c r="H68" s="22"/>
      <c r="I68" s="23"/>
      <c r="J68" s="18"/>
      <c r="K68" s="20" t="str">
        <f aca="false">IF(AND(A68="",B68="",D68="",F68=""),"",IF(OR(A68="",B68="",D68="",F68="",NOT(IFERROR(OR(IFERROR(AND(LEN(SUBSTITUTE(SUBSTITUTE(SUBSTITUTE(SUBSTITUTE(C68,".",""),"-","")," ",""),"/",""))=11,SUBSTITUTE(SUBSTITUTE(SUBSTITUTE(SUBSTITUTE(C68,".",""),"-","")," ",""),"/","")&lt;&gt;REPT(LEFT(SUBSTITUTE(SUBSTITUTE(SUBSTITUTE(SUBSTITUTE(C68,".",""),"-","")," ",""),"/",""),1),11),VALUE(MID(SUBSTITUTE(SUBSTITUTE(SUBSTITUTE(SUBSTITUTE(C68,".",""),"-","")," ",""),"/",""),10,1))=IF(MOD(SUMPRODUCT(--MID(SUBSTITUTE(SUBSTITUTE(SUBSTITUTE(SUBSTITUTE(C68,".",""),"-","")," ",""),"/",""),{1,2,3,4,5,6,7,8,9},1),{10,9,8,7,6,5,4,3,2}),11)&lt;2,0,11-MOD(SUMPRODUCT(--MID(SUBSTITUTE(SUBSTITUTE(SUBSTITUTE(SUBSTITUTE(C68,".",""),"-","")," ",""),"/",""),{1,2,3,4,5,6,7,8,9},1),{10,9,8,7,6,5,4,3,2}),11)),VALUE(MID(SUBSTITUTE(SUBSTITUTE(SUBSTITUTE(SUBSTITUTE(C68,".",""),"-","")," ",""),"/",""),11,1))=IF(MOD(SUMPRODUCT(--MID(SUBSTITUTE(SUBSTITUTE(SUBSTITUTE(SUBSTITUTE(C68,".",""),"-","")," ",""),"/",""),{1,2,3,4,5,6,7,8,9,10},1),{11,10,9,8,7,6,5,4,3,2}),11)&lt;2,0,11-MOD(SUMPRODUCT(--MID(SUBSTITUTE(SUBSTITUTE(SUBSTITUTE(SUBSTITUTE(C68,".",""),"-","")," ",""),"/",""),{1,2,3,4,5,6,7,8,9,10},1),{11,10,9,8,7,6,5,4,3,2}),11))),FALSE()),AND(LEN(SUBSTITUTE(SUBSTITUTE(SUBSTITUTE(SUBSTITUTE(C68,".",""),"-","")," ",""),"/",""))=14,ISNUMBER(VALUE(SUBSTITUTE(SUBSTITUTE(SUBSTITUTE(SUBSTITUTE(C68,".",""),"-","")," ",""),"/",""))))),FALSE())),G68&gt;F68),"Revisar",IF(I68&lt;&gt;"Sim","Falta informe","OK")))</f>
        <v/>
      </c>
    </row>
    <row r="69" customFormat="false" ht="15" hidden="false" customHeight="false" outlineLevel="0" collapsed="false">
      <c r="A69" s="19"/>
      <c r="B69" s="18"/>
      <c r="C69" s="18"/>
      <c r="D69" s="18"/>
      <c r="E69" s="21" t="str">
        <f aca="false">IF(D69="","",IFERROR(VLOOKUP(D69,Listas!$A$5:$B$16,2,FALSE()),""))</f>
        <v/>
      </c>
      <c r="F69" s="22"/>
      <c r="G69" s="22"/>
      <c r="H69" s="22"/>
      <c r="I69" s="23"/>
      <c r="J69" s="18"/>
      <c r="K69" s="20" t="str">
        <f aca="false">IF(AND(A69="",B69="",D69="",F69=""),"",IF(OR(A69="",B69="",D69="",F69="",NOT(IFERROR(OR(IFERROR(AND(LEN(SUBSTITUTE(SUBSTITUTE(SUBSTITUTE(SUBSTITUTE(C69,".",""),"-","")," ",""),"/",""))=11,SUBSTITUTE(SUBSTITUTE(SUBSTITUTE(SUBSTITUTE(C69,".",""),"-","")," ",""),"/","")&lt;&gt;REPT(LEFT(SUBSTITUTE(SUBSTITUTE(SUBSTITUTE(SUBSTITUTE(C69,".",""),"-","")," ",""),"/",""),1),11),VALUE(MID(SUBSTITUTE(SUBSTITUTE(SUBSTITUTE(SUBSTITUTE(C69,".",""),"-","")," ",""),"/",""),10,1))=IF(MOD(SUMPRODUCT(--MID(SUBSTITUTE(SUBSTITUTE(SUBSTITUTE(SUBSTITUTE(C69,".",""),"-","")," ",""),"/",""),{1,2,3,4,5,6,7,8,9},1),{10,9,8,7,6,5,4,3,2}),11)&lt;2,0,11-MOD(SUMPRODUCT(--MID(SUBSTITUTE(SUBSTITUTE(SUBSTITUTE(SUBSTITUTE(C69,".",""),"-","")," ",""),"/",""),{1,2,3,4,5,6,7,8,9},1),{10,9,8,7,6,5,4,3,2}),11)),VALUE(MID(SUBSTITUTE(SUBSTITUTE(SUBSTITUTE(SUBSTITUTE(C69,".",""),"-","")," ",""),"/",""),11,1))=IF(MOD(SUMPRODUCT(--MID(SUBSTITUTE(SUBSTITUTE(SUBSTITUTE(SUBSTITUTE(C69,".",""),"-","")," ",""),"/",""),{1,2,3,4,5,6,7,8,9,10},1),{11,10,9,8,7,6,5,4,3,2}),11)&lt;2,0,11-MOD(SUMPRODUCT(--MID(SUBSTITUTE(SUBSTITUTE(SUBSTITUTE(SUBSTITUTE(C69,".",""),"-","")," ",""),"/",""),{1,2,3,4,5,6,7,8,9,10},1),{11,10,9,8,7,6,5,4,3,2}),11))),FALSE()),AND(LEN(SUBSTITUTE(SUBSTITUTE(SUBSTITUTE(SUBSTITUTE(C69,".",""),"-","")," ",""),"/",""))=14,ISNUMBER(VALUE(SUBSTITUTE(SUBSTITUTE(SUBSTITUTE(SUBSTITUTE(C69,".",""),"-","")," ",""),"/",""))))),FALSE())),G69&gt;F69),"Revisar",IF(I69&lt;&gt;"Sim","Falta informe","OK")))</f>
        <v/>
      </c>
    </row>
    <row r="70" customFormat="false" ht="15" hidden="false" customHeight="false" outlineLevel="0" collapsed="false">
      <c r="A70" s="19"/>
      <c r="B70" s="18"/>
      <c r="C70" s="18"/>
      <c r="D70" s="18"/>
      <c r="E70" s="21" t="str">
        <f aca="false">IF(D70="","",IFERROR(VLOOKUP(D70,Listas!$A$5:$B$16,2,FALSE()),""))</f>
        <v/>
      </c>
      <c r="F70" s="22"/>
      <c r="G70" s="22"/>
      <c r="H70" s="22"/>
      <c r="I70" s="23"/>
      <c r="J70" s="18"/>
      <c r="K70" s="20" t="str">
        <f aca="false">IF(AND(A70="",B70="",D70="",F70=""),"",IF(OR(A70="",B70="",D70="",F70="",NOT(IFERROR(OR(IFERROR(AND(LEN(SUBSTITUTE(SUBSTITUTE(SUBSTITUTE(SUBSTITUTE(C70,".",""),"-","")," ",""),"/",""))=11,SUBSTITUTE(SUBSTITUTE(SUBSTITUTE(SUBSTITUTE(C70,".",""),"-","")," ",""),"/","")&lt;&gt;REPT(LEFT(SUBSTITUTE(SUBSTITUTE(SUBSTITUTE(SUBSTITUTE(C70,".",""),"-","")," ",""),"/",""),1),11),VALUE(MID(SUBSTITUTE(SUBSTITUTE(SUBSTITUTE(SUBSTITUTE(C70,".",""),"-","")," ",""),"/",""),10,1))=IF(MOD(SUMPRODUCT(--MID(SUBSTITUTE(SUBSTITUTE(SUBSTITUTE(SUBSTITUTE(C70,".",""),"-","")," ",""),"/",""),{1,2,3,4,5,6,7,8,9},1),{10,9,8,7,6,5,4,3,2}),11)&lt;2,0,11-MOD(SUMPRODUCT(--MID(SUBSTITUTE(SUBSTITUTE(SUBSTITUTE(SUBSTITUTE(C70,".",""),"-","")," ",""),"/",""),{1,2,3,4,5,6,7,8,9},1),{10,9,8,7,6,5,4,3,2}),11)),VALUE(MID(SUBSTITUTE(SUBSTITUTE(SUBSTITUTE(SUBSTITUTE(C70,".",""),"-","")," ",""),"/",""),11,1))=IF(MOD(SUMPRODUCT(--MID(SUBSTITUTE(SUBSTITUTE(SUBSTITUTE(SUBSTITUTE(C70,".",""),"-","")," ",""),"/",""),{1,2,3,4,5,6,7,8,9,10},1),{11,10,9,8,7,6,5,4,3,2}),11)&lt;2,0,11-MOD(SUMPRODUCT(--MID(SUBSTITUTE(SUBSTITUTE(SUBSTITUTE(SUBSTITUTE(C70,".",""),"-","")," ",""),"/",""),{1,2,3,4,5,6,7,8,9,10},1),{11,10,9,8,7,6,5,4,3,2}),11))),FALSE()),AND(LEN(SUBSTITUTE(SUBSTITUTE(SUBSTITUTE(SUBSTITUTE(C70,".",""),"-","")," ",""),"/",""))=14,ISNUMBER(VALUE(SUBSTITUTE(SUBSTITUTE(SUBSTITUTE(SUBSTITUTE(C70,".",""),"-","")," ",""),"/",""))))),FALSE())),G70&gt;F70),"Revisar",IF(I70&lt;&gt;"Sim","Falta informe","OK")))</f>
        <v/>
      </c>
    </row>
    <row r="71" customFormat="false" ht="15" hidden="false" customHeight="false" outlineLevel="0" collapsed="false">
      <c r="A71" s="19"/>
      <c r="B71" s="18"/>
      <c r="C71" s="18"/>
      <c r="D71" s="18"/>
      <c r="E71" s="21" t="str">
        <f aca="false">IF(D71="","",IFERROR(VLOOKUP(D71,Listas!$A$5:$B$16,2,FALSE()),""))</f>
        <v/>
      </c>
      <c r="F71" s="22"/>
      <c r="G71" s="22"/>
      <c r="H71" s="22"/>
      <c r="I71" s="23"/>
      <c r="J71" s="18"/>
      <c r="K71" s="20" t="str">
        <f aca="false">IF(AND(A71="",B71="",D71="",F71=""),"",IF(OR(A71="",B71="",D71="",F71="",NOT(IFERROR(OR(IFERROR(AND(LEN(SUBSTITUTE(SUBSTITUTE(SUBSTITUTE(SUBSTITUTE(C71,".",""),"-","")," ",""),"/",""))=11,SUBSTITUTE(SUBSTITUTE(SUBSTITUTE(SUBSTITUTE(C71,".",""),"-","")," ",""),"/","")&lt;&gt;REPT(LEFT(SUBSTITUTE(SUBSTITUTE(SUBSTITUTE(SUBSTITUTE(C71,".",""),"-","")," ",""),"/",""),1),11),VALUE(MID(SUBSTITUTE(SUBSTITUTE(SUBSTITUTE(SUBSTITUTE(C71,".",""),"-","")," ",""),"/",""),10,1))=IF(MOD(SUMPRODUCT(--MID(SUBSTITUTE(SUBSTITUTE(SUBSTITUTE(SUBSTITUTE(C71,".",""),"-","")," ",""),"/",""),{1,2,3,4,5,6,7,8,9},1),{10,9,8,7,6,5,4,3,2}),11)&lt;2,0,11-MOD(SUMPRODUCT(--MID(SUBSTITUTE(SUBSTITUTE(SUBSTITUTE(SUBSTITUTE(C71,".",""),"-","")," ",""),"/",""),{1,2,3,4,5,6,7,8,9},1),{10,9,8,7,6,5,4,3,2}),11)),VALUE(MID(SUBSTITUTE(SUBSTITUTE(SUBSTITUTE(SUBSTITUTE(C71,".",""),"-","")," ",""),"/",""),11,1))=IF(MOD(SUMPRODUCT(--MID(SUBSTITUTE(SUBSTITUTE(SUBSTITUTE(SUBSTITUTE(C71,".",""),"-","")," ",""),"/",""),{1,2,3,4,5,6,7,8,9,10},1),{11,10,9,8,7,6,5,4,3,2}),11)&lt;2,0,11-MOD(SUMPRODUCT(--MID(SUBSTITUTE(SUBSTITUTE(SUBSTITUTE(SUBSTITUTE(C71,".",""),"-","")," ",""),"/",""),{1,2,3,4,5,6,7,8,9,10},1),{11,10,9,8,7,6,5,4,3,2}),11))),FALSE()),AND(LEN(SUBSTITUTE(SUBSTITUTE(SUBSTITUTE(SUBSTITUTE(C71,".",""),"-","")," ",""),"/",""))=14,ISNUMBER(VALUE(SUBSTITUTE(SUBSTITUTE(SUBSTITUTE(SUBSTITUTE(C71,".",""),"-","")," ",""),"/",""))))),FALSE())),G71&gt;F71),"Revisar",IF(I71&lt;&gt;"Sim","Falta informe","OK")))</f>
        <v/>
      </c>
    </row>
    <row r="72" customFormat="false" ht="15" hidden="false" customHeight="false" outlineLevel="0" collapsed="false">
      <c r="A72" s="19"/>
      <c r="B72" s="18"/>
      <c r="C72" s="18"/>
      <c r="D72" s="18"/>
      <c r="E72" s="21" t="str">
        <f aca="false">IF(D72="","",IFERROR(VLOOKUP(D72,Listas!$A$5:$B$16,2,FALSE()),""))</f>
        <v/>
      </c>
      <c r="F72" s="22"/>
      <c r="G72" s="22"/>
      <c r="H72" s="22"/>
      <c r="I72" s="23"/>
      <c r="J72" s="18"/>
      <c r="K72" s="20" t="str">
        <f aca="false">IF(AND(A72="",B72="",D72="",F72=""),"",IF(OR(A72="",B72="",D72="",F72="",NOT(IFERROR(OR(IFERROR(AND(LEN(SUBSTITUTE(SUBSTITUTE(SUBSTITUTE(SUBSTITUTE(C72,".",""),"-","")," ",""),"/",""))=11,SUBSTITUTE(SUBSTITUTE(SUBSTITUTE(SUBSTITUTE(C72,".",""),"-","")," ",""),"/","")&lt;&gt;REPT(LEFT(SUBSTITUTE(SUBSTITUTE(SUBSTITUTE(SUBSTITUTE(C72,".",""),"-","")," ",""),"/",""),1),11),VALUE(MID(SUBSTITUTE(SUBSTITUTE(SUBSTITUTE(SUBSTITUTE(C72,".",""),"-","")," ",""),"/",""),10,1))=IF(MOD(SUMPRODUCT(--MID(SUBSTITUTE(SUBSTITUTE(SUBSTITUTE(SUBSTITUTE(C72,".",""),"-","")," ",""),"/",""),{1,2,3,4,5,6,7,8,9},1),{10,9,8,7,6,5,4,3,2}),11)&lt;2,0,11-MOD(SUMPRODUCT(--MID(SUBSTITUTE(SUBSTITUTE(SUBSTITUTE(SUBSTITUTE(C72,".",""),"-","")," ",""),"/",""),{1,2,3,4,5,6,7,8,9},1),{10,9,8,7,6,5,4,3,2}),11)),VALUE(MID(SUBSTITUTE(SUBSTITUTE(SUBSTITUTE(SUBSTITUTE(C72,".",""),"-","")," ",""),"/",""),11,1))=IF(MOD(SUMPRODUCT(--MID(SUBSTITUTE(SUBSTITUTE(SUBSTITUTE(SUBSTITUTE(C72,".",""),"-","")," ",""),"/",""),{1,2,3,4,5,6,7,8,9,10},1),{11,10,9,8,7,6,5,4,3,2}),11)&lt;2,0,11-MOD(SUMPRODUCT(--MID(SUBSTITUTE(SUBSTITUTE(SUBSTITUTE(SUBSTITUTE(C72,".",""),"-","")," ",""),"/",""),{1,2,3,4,5,6,7,8,9,10},1),{11,10,9,8,7,6,5,4,3,2}),11))),FALSE()),AND(LEN(SUBSTITUTE(SUBSTITUTE(SUBSTITUTE(SUBSTITUTE(C72,".",""),"-","")," ",""),"/",""))=14,ISNUMBER(VALUE(SUBSTITUTE(SUBSTITUTE(SUBSTITUTE(SUBSTITUTE(C72,".",""),"-","")," ",""),"/",""))))),FALSE())),G72&gt;F72),"Revisar",IF(I72&lt;&gt;"Sim","Falta informe","OK")))</f>
        <v/>
      </c>
    </row>
    <row r="73" customFormat="false" ht="15" hidden="false" customHeight="false" outlineLevel="0" collapsed="false">
      <c r="A73" s="19"/>
      <c r="B73" s="18"/>
      <c r="C73" s="18"/>
      <c r="D73" s="18"/>
      <c r="E73" s="21" t="str">
        <f aca="false">IF(D73="","",IFERROR(VLOOKUP(D73,Listas!$A$5:$B$16,2,FALSE()),""))</f>
        <v/>
      </c>
      <c r="F73" s="22"/>
      <c r="G73" s="22"/>
      <c r="H73" s="22"/>
      <c r="I73" s="23"/>
      <c r="J73" s="18"/>
      <c r="K73" s="20" t="str">
        <f aca="false">IF(AND(A73="",B73="",D73="",F73=""),"",IF(OR(A73="",B73="",D73="",F73="",NOT(IFERROR(OR(IFERROR(AND(LEN(SUBSTITUTE(SUBSTITUTE(SUBSTITUTE(SUBSTITUTE(C73,".",""),"-","")," ",""),"/",""))=11,SUBSTITUTE(SUBSTITUTE(SUBSTITUTE(SUBSTITUTE(C73,".",""),"-","")," ",""),"/","")&lt;&gt;REPT(LEFT(SUBSTITUTE(SUBSTITUTE(SUBSTITUTE(SUBSTITUTE(C73,".",""),"-","")," ",""),"/",""),1),11),VALUE(MID(SUBSTITUTE(SUBSTITUTE(SUBSTITUTE(SUBSTITUTE(C73,".",""),"-","")," ",""),"/",""),10,1))=IF(MOD(SUMPRODUCT(--MID(SUBSTITUTE(SUBSTITUTE(SUBSTITUTE(SUBSTITUTE(C73,".",""),"-","")," ",""),"/",""),{1,2,3,4,5,6,7,8,9},1),{10,9,8,7,6,5,4,3,2}),11)&lt;2,0,11-MOD(SUMPRODUCT(--MID(SUBSTITUTE(SUBSTITUTE(SUBSTITUTE(SUBSTITUTE(C73,".",""),"-","")," ",""),"/",""),{1,2,3,4,5,6,7,8,9},1),{10,9,8,7,6,5,4,3,2}),11)),VALUE(MID(SUBSTITUTE(SUBSTITUTE(SUBSTITUTE(SUBSTITUTE(C73,".",""),"-","")," ",""),"/",""),11,1))=IF(MOD(SUMPRODUCT(--MID(SUBSTITUTE(SUBSTITUTE(SUBSTITUTE(SUBSTITUTE(C73,".",""),"-","")," ",""),"/",""),{1,2,3,4,5,6,7,8,9,10},1),{11,10,9,8,7,6,5,4,3,2}),11)&lt;2,0,11-MOD(SUMPRODUCT(--MID(SUBSTITUTE(SUBSTITUTE(SUBSTITUTE(SUBSTITUTE(C73,".",""),"-","")," ",""),"/",""),{1,2,3,4,5,6,7,8,9,10},1),{11,10,9,8,7,6,5,4,3,2}),11))),FALSE()),AND(LEN(SUBSTITUTE(SUBSTITUTE(SUBSTITUTE(SUBSTITUTE(C73,".",""),"-","")," ",""),"/",""))=14,ISNUMBER(VALUE(SUBSTITUTE(SUBSTITUTE(SUBSTITUTE(SUBSTITUTE(C73,".",""),"-","")," ",""),"/",""))))),FALSE())),G73&gt;F73),"Revisar",IF(I73&lt;&gt;"Sim","Falta informe","OK")))</f>
        <v/>
      </c>
    </row>
    <row r="74" customFormat="false" ht="15" hidden="false" customHeight="false" outlineLevel="0" collapsed="false">
      <c r="A74" s="19"/>
      <c r="B74" s="18"/>
      <c r="C74" s="18"/>
      <c r="D74" s="18"/>
      <c r="E74" s="21" t="str">
        <f aca="false">IF(D74="","",IFERROR(VLOOKUP(D74,Listas!$A$5:$B$16,2,FALSE()),""))</f>
        <v/>
      </c>
      <c r="F74" s="22"/>
      <c r="G74" s="22"/>
      <c r="H74" s="22"/>
      <c r="I74" s="23"/>
      <c r="J74" s="18"/>
      <c r="K74" s="20" t="str">
        <f aca="false">IF(AND(A74="",B74="",D74="",F74=""),"",IF(OR(A74="",B74="",D74="",F74="",NOT(IFERROR(OR(IFERROR(AND(LEN(SUBSTITUTE(SUBSTITUTE(SUBSTITUTE(SUBSTITUTE(C74,".",""),"-","")," ",""),"/",""))=11,SUBSTITUTE(SUBSTITUTE(SUBSTITUTE(SUBSTITUTE(C74,".",""),"-","")," ",""),"/","")&lt;&gt;REPT(LEFT(SUBSTITUTE(SUBSTITUTE(SUBSTITUTE(SUBSTITUTE(C74,".",""),"-","")," ",""),"/",""),1),11),VALUE(MID(SUBSTITUTE(SUBSTITUTE(SUBSTITUTE(SUBSTITUTE(C74,".",""),"-","")," ",""),"/",""),10,1))=IF(MOD(SUMPRODUCT(--MID(SUBSTITUTE(SUBSTITUTE(SUBSTITUTE(SUBSTITUTE(C74,".",""),"-","")," ",""),"/",""),{1,2,3,4,5,6,7,8,9},1),{10,9,8,7,6,5,4,3,2}),11)&lt;2,0,11-MOD(SUMPRODUCT(--MID(SUBSTITUTE(SUBSTITUTE(SUBSTITUTE(SUBSTITUTE(C74,".",""),"-","")," ",""),"/",""),{1,2,3,4,5,6,7,8,9},1),{10,9,8,7,6,5,4,3,2}),11)),VALUE(MID(SUBSTITUTE(SUBSTITUTE(SUBSTITUTE(SUBSTITUTE(C74,".",""),"-","")," ",""),"/",""),11,1))=IF(MOD(SUMPRODUCT(--MID(SUBSTITUTE(SUBSTITUTE(SUBSTITUTE(SUBSTITUTE(C74,".",""),"-","")," ",""),"/",""),{1,2,3,4,5,6,7,8,9,10},1),{11,10,9,8,7,6,5,4,3,2}),11)&lt;2,0,11-MOD(SUMPRODUCT(--MID(SUBSTITUTE(SUBSTITUTE(SUBSTITUTE(SUBSTITUTE(C74,".",""),"-","")," ",""),"/",""),{1,2,3,4,5,6,7,8,9,10},1),{11,10,9,8,7,6,5,4,3,2}),11))),FALSE()),AND(LEN(SUBSTITUTE(SUBSTITUTE(SUBSTITUTE(SUBSTITUTE(C74,".",""),"-","")," ",""),"/",""))=14,ISNUMBER(VALUE(SUBSTITUTE(SUBSTITUTE(SUBSTITUTE(SUBSTITUTE(C74,".",""),"-","")," ",""),"/",""))))),FALSE())),G74&gt;F74),"Revisar",IF(I74&lt;&gt;"Sim","Falta informe","OK")))</f>
        <v/>
      </c>
    </row>
    <row r="75" customFormat="false" ht="15" hidden="false" customHeight="false" outlineLevel="0" collapsed="false">
      <c r="A75" s="19"/>
      <c r="B75" s="18"/>
      <c r="C75" s="18"/>
      <c r="D75" s="18"/>
      <c r="E75" s="21" t="str">
        <f aca="false">IF(D75="","",IFERROR(VLOOKUP(D75,Listas!$A$5:$B$16,2,FALSE()),""))</f>
        <v/>
      </c>
      <c r="F75" s="22"/>
      <c r="G75" s="22"/>
      <c r="H75" s="22"/>
      <c r="I75" s="23"/>
      <c r="J75" s="18"/>
      <c r="K75" s="20" t="str">
        <f aca="false">IF(AND(A75="",B75="",D75="",F75=""),"",IF(OR(A75="",B75="",D75="",F75="",NOT(IFERROR(OR(IFERROR(AND(LEN(SUBSTITUTE(SUBSTITUTE(SUBSTITUTE(SUBSTITUTE(C75,".",""),"-","")," ",""),"/",""))=11,SUBSTITUTE(SUBSTITUTE(SUBSTITUTE(SUBSTITUTE(C75,".",""),"-","")," ",""),"/","")&lt;&gt;REPT(LEFT(SUBSTITUTE(SUBSTITUTE(SUBSTITUTE(SUBSTITUTE(C75,".",""),"-","")," ",""),"/",""),1),11),VALUE(MID(SUBSTITUTE(SUBSTITUTE(SUBSTITUTE(SUBSTITUTE(C75,".",""),"-","")," ",""),"/",""),10,1))=IF(MOD(SUMPRODUCT(--MID(SUBSTITUTE(SUBSTITUTE(SUBSTITUTE(SUBSTITUTE(C75,".",""),"-","")," ",""),"/",""),{1,2,3,4,5,6,7,8,9},1),{10,9,8,7,6,5,4,3,2}),11)&lt;2,0,11-MOD(SUMPRODUCT(--MID(SUBSTITUTE(SUBSTITUTE(SUBSTITUTE(SUBSTITUTE(C75,".",""),"-","")," ",""),"/",""),{1,2,3,4,5,6,7,8,9},1),{10,9,8,7,6,5,4,3,2}),11)),VALUE(MID(SUBSTITUTE(SUBSTITUTE(SUBSTITUTE(SUBSTITUTE(C75,".",""),"-","")," ",""),"/",""),11,1))=IF(MOD(SUMPRODUCT(--MID(SUBSTITUTE(SUBSTITUTE(SUBSTITUTE(SUBSTITUTE(C75,".",""),"-","")," ",""),"/",""),{1,2,3,4,5,6,7,8,9,10},1),{11,10,9,8,7,6,5,4,3,2}),11)&lt;2,0,11-MOD(SUMPRODUCT(--MID(SUBSTITUTE(SUBSTITUTE(SUBSTITUTE(SUBSTITUTE(C75,".",""),"-","")," ",""),"/",""),{1,2,3,4,5,6,7,8,9,10},1),{11,10,9,8,7,6,5,4,3,2}),11))),FALSE()),AND(LEN(SUBSTITUTE(SUBSTITUTE(SUBSTITUTE(SUBSTITUTE(C75,".",""),"-","")," ",""),"/",""))=14,ISNUMBER(VALUE(SUBSTITUTE(SUBSTITUTE(SUBSTITUTE(SUBSTITUTE(C75,".",""),"-","")," ",""),"/",""))))),FALSE())),G75&gt;F75),"Revisar",IF(I75&lt;&gt;"Sim","Falta informe","OK")))</f>
        <v/>
      </c>
    </row>
    <row r="76" customFormat="false" ht="15" hidden="false" customHeight="false" outlineLevel="0" collapsed="false">
      <c r="A76" s="19"/>
      <c r="B76" s="18"/>
      <c r="C76" s="18"/>
      <c r="D76" s="18"/>
      <c r="E76" s="21" t="str">
        <f aca="false">IF(D76="","",IFERROR(VLOOKUP(D76,Listas!$A$5:$B$16,2,FALSE()),""))</f>
        <v/>
      </c>
      <c r="F76" s="22"/>
      <c r="G76" s="22"/>
      <c r="H76" s="22"/>
      <c r="I76" s="23"/>
      <c r="J76" s="18"/>
      <c r="K76" s="20" t="str">
        <f aca="false">IF(AND(A76="",B76="",D76="",F76=""),"",IF(OR(A76="",B76="",D76="",F76="",NOT(IFERROR(OR(IFERROR(AND(LEN(SUBSTITUTE(SUBSTITUTE(SUBSTITUTE(SUBSTITUTE(C76,".",""),"-","")," ",""),"/",""))=11,SUBSTITUTE(SUBSTITUTE(SUBSTITUTE(SUBSTITUTE(C76,".",""),"-","")," ",""),"/","")&lt;&gt;REPT(LEFT(SUBSTITUTE(SUBSTITUTE(SUBSTITUTE(SUBSTITUTE(C76,".",""),"-","")," ",""),"/",""),1),11),VALUE(MID(SUBSTITUTE(SUBSTITUTE(SUBSTITUTE(SUBSTITUTE(C76,".",""),"-","")," ",""),"/",""),10,1))=IF(MOD(SUMPRODUCT(--MID(SUBSTITUTE(SUBSTITUTE(SUBSTITUTE(SUBSTITUTE(C76,".",""),"-","")," ",""),"/",""),{1,2,3,4,5,6,7,8,9},1),{10,9,8,7,6,5,4,3,2}),11)&lt;2,0,11-MOD(SUMPRODUCT(--MID(SUBSTITUTE(SUBSTITUTE(SUBSTITUTE(SUBSTITUTE(C76,".",""),"-","")," ",""),"/",""),{1,2,3,4,5,6,7,8,9},1),{10,9,8,7,6,5,4,3,2}),11)),VALUE(MID(SUBSTITUTE(SUBSTITUTE(SUBSTITUTE(SUBSTITUTE(C76,".",""),"-","")," ",""),"/",""),11,1))=IF(MOD(SUMPRODUCT(--MID(SUBSTITUTE(SUBSTITUTE(SUBSTITUTE(SUBSTITUTE(C76,".",""),"-","")," ",""),"/",""),{1,2,3,4,5,6,7,8,9,10},1),{11,10,9,8,7,6,5,4,3,2}),11)&lt;2,0,11-MOD(SUMPRODUCT(--MID(SUBSTITUTE(SUBSTITUTE(SUBSTITUTE(SUBSTITUTE(C76,".",""),"-","")," ",""),"/",""),{1,2,3,4,5,6,7,8,9,10},1),{11,10,9,8,7,6,5,4,3,2}),11))),FALSE()),AND(LEN(SUBSTITUTE(SUBSTITUTE(SUBSTITUTE(SUBSTITUTE(C76,".",""),"-","")," ",""),"/",""))=14,ISNUMBER(VALUE(SUBSTITUTE(SUBSTITUTE(SUBSTITUTE(SUBSTITUTE(C76,".",""),"-","")," ",""),"/",""))))),FALSE())),G76&gt;F76),"Revisar",IF(I76&lt;&gt;"Sim","Falta informe","OK")))</f>
        <v/>
      </c>
    </row>
    <row r="77" customFormat="false" ht="15" hidden="false" customHeight="false" outlineLevel="0" collapsed="false">
      <c r="A77" s="19"/>
      <c r="B77" s="18"/>
      <c r="C77" s="18"/>
      <c r="D77" s="18"/>
      <c r="E77" s="21" t="str">
        <f aca="false">IF(D77="","",IFERROR(VLOOKUP(D77,Listas!$A$5:$B$16,2,FALSE()),""))</f>
        <v/>
      </c>
      <c r="F77" s="22"/>
      <c r="G77" s="22"/>
      <c r="H77" s="22"/>
      <c r="I77" s="23"/>
      <c r="J77" s="18"/>
      <c r="K77" s="20" t="str">
        <f aca="false">IF(AND(A77="",B77="",D77="",F77=""),"",IF(OR(A77="",B77="",D77="",F77="",NOT(IFERROR(OR(IFERROR(AND(LEN(SUBSTITUTE(SUBSTITUTE(SUBSTITUTE(SUBSTITUTE(C77,".",""),"-","")," ",""),"/",""))=11,SUBSTITUTE(SUBSTITUTE(SUBSTITUTE(SUBSTITUTE(C77,".",""),"-","")," ",""),"/","")&lt;&gt;REPT(LEFT(SUBSTITUTE(SUBSTITUTE(SUBSTITUTE(SUBSTITUTE(C77,".",""),"-","")," ",""),"/",""),1),11),VALUE(MID(SUBSTITUTE(SUBSTITUTE(SUBSTITUTE(SUBSTITUTE(C77,".",""),"-","")," ",""),"/",""),10,1))=IF(MOD(SUMPRODUCT(--MID(SUBSTITUTE(SUBSTITUTE(SUBSTITUTE(SUBSTITUTE(C77,".",""),"-","")," ",""),"/",""),{1,2,3,4,5,6,7,8,9},1),{10,9,8,7,6,5,4,3,2}),11)&lt;2,0,11-MOD(SUMPRODUCT(--MID(SUBSTITUTE(SUBSTITUTE(SUBSTITUTE(SUBSTITUTE(C77,".",""),"-","")," ",""),"/",""),{1,2,3,4,5,6,7,8,9},1),{10,9,8,7,6,5,4,3,2}),11)),VALUE(MID(SUBSTITUTE(SUBSTITUTE(SUBSTITUTE(SUBSTITUTE(C77,".",""),"-","")," ",""),"/",""),11,1))=IF(MOD(SUMPRODUCT(--MID(SUBSTITUTE(SUBSTITUTE(SUBSTITUTE(SUBSTITUTE(C77,".",""),"-","")," ",""),"/",""),{1,2,3,4,5,6,7,8,9,10},1),{11,10,9,8,7,6,5,4,3,2}),11)&lt;2,0,11-MOD(SUMPRODUCT(--MID(SUBSTITUTE(SUBSTITUTE(SUBSTITUTE(SUBSTITUTE(C77,".",""),"-","")," ",""),"/",""),{1,2,3,4,5,6,7,8,9,10},1),{11,10,9,8,7,6,5,4,3,2}),11))),FALSE()),AND(LEN(SUBSTITUTE(SUBSTITUTE(SUBSTITUTE(SUBSTITUTE(C77,".",""),"-","")," ",""),"/",""))=14,ISNUMBER(VALUE(SUBSTITUTE(SUBSTITUTE(SUBSTITUTE(SUBSTITUTE(C77,".",""),"-","")," ",""),"/",""))))),FALSE())),G77&gt;F77),"Revisar",IF(I77&lt;&gt;"Sim","Falta informe","OK")))</f>
        <v/>
      </c>
    </row>
    <row r="78" customFormat="false" ht="15" hidden="false" customHeight="false" outlineLevel="0" collapsed="false">
      <c r="A78" s="19"/>
      <c r="B78" s="18"/>
      <c r="C78" s="18"/>
      <c r="D78" s="18"/>
      <c r="E78" s="21" t="str">
        <f aca="false">IF(D78="","",IFERROR(VLOOKUP(D78,Listas!$A$5:$B$16,2,FALSE()),""))</f>
        <v/>
      </c>
      <c r="F78" s="22"/>
      <c r="G78" s="22"/>
      <c r="H78" s="22"/>
      <c r="I78" s="23"/>
      <c r="J78" s="18"/>
      <c r="K78" s="20" t="str">
        <f aca="false">IF(AND(A78="",B78="",D78="",F78=""),"",IF(OR(A78="",B78="",D78="",F78="",NOT(IFERROR(OR(IFERROR(AND(LEN(SUBSTITUTE(SUBSTITUTE(SUBSTITUTE(SUBSTITUTE(C78,".",""),"-","")," ",""),"/",""))=11,SUBSTITUTE(SUBSTITUTE(SUBSTITUTE(SUBSTITUTE(C78,".",""),"-","")," ",""),"/","")&lt;&gt;REPT(LEFT(SUBSTITUTE(SUBSTITUTE(SUBSTITUTE(SUBSTITUTE(C78,".",""),"-","")," ",""),"/",""),1),11),VALUE(MID(SUBSTITUTE(SUBSTITUTE(SUBSTITUTE(SUBSTITUTE(C78,".",""),"-","")," ",""),"/",""),10,1))=IF(MOD(SUMPRODUCT(--MID(SUBSTITUTE(SUBSTITUTE(SUBSTITUTE(SUBSTITUTE(C78,".",""),"-","")," ",""),"/",""),{1,2,3,4,5,6,7,8,9},1),{10,9,8,7,6,5,4,3,2}),11)&lt;2,0,11-MOD(SUMPRODUCT(--MID(SUBSTITUTE(SUBSTITUTE(SUBSTITUTE(SUBSTITUTE(C78,".",""),"-","")," ",""),"/",""),{1,2,3,4,5,6,7,8,9},1),{10,9,8,7,6,5,4,3,2}),11)),VALUE(MID(SUBSTITUTE(SUBSTITUTE(SUBSTITUTE(SUBSTITUTE(C78,".",""),"-","")," ",""),"/",""),11,1))=IF(MOD(SUMPRODUCT(--MID(SUBSTITUTE(SUBSTITUTE(SUBSTITUTE(SUBSTITUTE(C78,".",""),"-","")," ",""),"/",""),{1,2,3,4,5,6,7,8,9,10},1),{11,10,9,8,7,6,5,4,3,2}),11)&lt;2,0,11-MOD(SUMPRODUCT(--MID(SUBSTITUTE(SUBSTITUTE(SUBSTITUTE(SUBSTITUTE(C78,".",""),"-","")," ",""),"/",""),{1,2,3,4,5,6,7,8,9,10},1),{11,10,9,8,7,6,5,4,3,2}),11))),FALSE()),AND(LEN(SUBSTITUTE(SUBSTITUTE(SUBSTITUTE(SUBSTITUTE(C78,".",""),"-","")," ",""),"/",""))=14,ISNUMBER(VALUE(SUBSTITUTE(SUBSTITUTE(SUBSTITUTE(SUBSTITUTE(C78,".",""),"-","")," ",""),"/",""))))),FALSE())),G78&gt;F78),"Revisar",IF(I78&lt;&gt;"Sim","Falta informe","OK")))</f>
        <v/>
      </c>
    </row>
    <row r="79" customFormat="false" ht="15" hidden="false" customHeight="false" outlineLevel="0" collapsed="false">
      <c r="A79" s="19"/>
      <c r="B79" s="18"/>
      <c r="C79" s="18"/>
      <c r="D79" s="18"/>
      <c r="E79" s="21" t="str">
        <f aca="false">IF(D79="","",IFERROR(VLOOKUP(D79,Listas!$A$5:$B$16,2,FALSE()),""))</f>
        <v/>
      </c>
      <c r="F79" s="22"/>
      <c r="G79" s="22"/>
      <c r="H79" s="22"/>
      <c r="I79" s="23"/>
      <c r="J79" s="18"/>
      <c r="K79" s="20" t="str">
        <f aca="false">IF(AND(A79="",B79="",D79="",F79=""),"",IF(OR(A79="",B79="",D79="",F79="",NOT(IFERROR(OR(IFERROR(AND(LEN(SUBSTITUTE(SUBSTITUTE(SUBSTITUTE(SUBSTITUTE(C79,".",""),"-","")," ",""),"/",""))=11,SUBSTITUTE(SUBSTITUTE(SUBSTITUTE(SUBSTITUTE(C79,".",""),"-","")," ",""),"/","")&lt;&gt;REPT(LEFT(SUBSTITUTE(SUBSTITUTE(SUBSTITUTE(SUBSTITUTE(C79,".",""),"-","")," ",""),"/",""),1),11),VALUE(MID(SUBSTITUTE(SUBSTITUTE(SUBSTITUTE(SUBSTITUTE(C79,".",""),"-","")," ",""),"/",""),10,1))=IF(MOD(SUMPRODUCT(--MID(SUBSTITUTE(SUBSTITUTE(SUBSTITUTE(SUBSTITUTE(C79,".",""),"-","")," ",""),"/",""),{1,2,3,4,5,6,7,8,9},1),{10,9,8,7,6,5,4,3,2}),11)&lt;2,0,11-MOD(SUMPRODUCT(--MID(SUBSTITUTE(SUBSTITUTE(SUBSTITUTE(SUBSTITUTE(C79,".",""),"-","")," ",""),"/",""),{1,2,3,4,5,6,7,8,9},1),{10,9,8,7,6,5,4,3,2}),11)),VALUE(MID(SUBSTITUTE(SUBSTITUTE(SUBSTITUTE(SUBSTITUTE(C79,".",""),"-","")," ",""),"/",""),11,1))=IF(MOD(SUMPRODUCT(--MID(SUBSTITUTE(SUBSTITUTE(SUBSTITUTE(SUBSTITUTE(C79,".",""),"-","")," ",""),"/",""),{1,2,3,4,5,6,7,8,9,10},1),{11,10,9,8,7,6,5,4,3,2}),11)&lt;2,0,11-MOD(SUMPRODUCT(--MID(SUBSTITUTE(SUBSTITUTE(SUBSTITUTE(SUBSTITUTE(C79,".",""),"-","")," ",""),"/",""),{1,2,3,4,5,6,7,8,9,10},1),{11,10,9,8,7,6,5,4,3,2}),11))),FALSE()),AND(LEN(SUBSTITUTE(SUBSTITUTE(SUBSTITUTE(SUBSTITUTE(C79,".",""),"-","")," ",""),"/",""))=14,ISNUMBER(VALUE(SUBSTITUTE(SUBSTITUTE(SUBSTITUTE(SUBSTITUTE(C79,".",""),"-","")," ",""),"/",""))))),FALSE())),G79&gt;F79),"Revisar",IF(I79&lt;&gt;"Sim","Falta informe","OK")))</f>
        <v/>
      </c>
    </row>
    <row r="80" customFormat="false" ht="15" hidden="false" customHeight="false" outlineLevel="0" collapsed="false">
      <c r="A80" s="19"/>
      <c r="B80" s="18"/>
      <c r="C80" s="18"/>
      <c r="D80" s="18"/>
      <c r="E80" s="21" t="str">
        <f aca="false">IF(D80="","",IFERROR(VLOOKUP(D80,Listas!$A$5:$B$16,2,FALSE()),""))</f>
        <v/>
      </c>
      <c r="F80" s="22"/>
      <c r="G80" s="22"/>
      <c r="H80" s="22"/>
      <c r="I80" s="23"/>
      <c r="J80" s="18"/>
      <c r="K80" s="20" t="str">
        <f aca="false">IF(AND(A80="",B80="",D80="",F80=""),"",IF(OR(A80="",B80="",D80="",F80="",NOT(IFERROR(OR(IFERROR(AND(LEN(SUBSTITUTE(SUBSTITUTE(SUBSTITUTE(SUBSTITUTE(C80,".",""),"-","")," ",""),"/",""))=11,SUBSTITUTE(SUBSTITUTE(SUBSTITUTE(SUBSTITUTE(C80,".",""),"-","")," ",""),"/","")&lt;&gt;REPT(LEFT(SUBSTITUTE(SUBSTITUTE(SUBSTITUTE(SUBSTITUTE(C80,".",""),"-","")," ",""),"/",""),1),11),VALUE(MID(SUBSTITUTE(SUBSTITUTE(SUBSTITUTE(SUBSTITUTE(C80,".",""),"-","")," ",""),"/",""),10,1))=IF(MOD(SUMPRODUCT(--MID(SUBSTITUTE(SUBSTITUTE(SUBSTITUTE(SUBSTITUTE(C80,".",""),"-","")," ",""),"/",""),{1,2,3,4,5,6,7,8,9},1),{10,9,8,7,6,5,4,3,2}),11)&lt;2,0,11-MOD(SUMPRODUCT(--MID(SUBSTITUTE(SUBSTITUTE(SUBSTITUTE(SUBSTITUTE(C80,".",""),"-","")," ",""),"/",""),{1,2,3,4,5,6,7,8,9},1),{10,9,8,7,6,5,4,3,2}),11)),VALUE(MID(SUBSTITUTE(SUBSTITUTE(SUBSTITUTE(SUBSTITUTE(C80,".",""),"-","")," ",""),"/",""),11,1))=IF(MOD(SUMPRODUCT(--MID(SUBSTITUTE(SUBSTITUTE(SUBSTITUTE(SUBSTITUTE(C80,".",""),"-","")," ",""),"/",""),{1,2,3,4,5,6,7,8,9,10},1),{11,10,9,8,7,6,5,4,3,2}),11)&lt;2,0,11-MOD(SUMPRODUCT(--MID(SUBSTITUTE(SUBSTITUTE(SUBSTITUTE(SUBSTITUTE(C80,".",""),"-","")," ",""),"/",""),{1,2,3,4,5,6,7,8,9,10},1),{11,10,9,8,7,6,5,4,3,2}),11))),FALSE()),AND(LEN(SUBSTITUTE(SUBSTITUTE(SUBSTITUTE(SUBSTITUTE(C80,".",""),"-","")," ",""),"/",""))=14,ISNUMBER(VALUE(SUBSTITUTE(SUBSTITUTE(SUBSTITUTE(SUBSTITUTE(C80,".",""),"-","")," ",""),"/",""))))),FALSE())),G80&gt;F80),"Revisar",IF(I80&lt;&gt;"Sim","Falta informe","OK")))</f>
        <v/>
      </c>
    </row>
    <row r="81" customFormat="false" ht="15" hidden="false" customHeight="false" outlineLevel="0" collapsed="false">
      <c r="A81" s="19"/>
      <c r="B81" s="18"/>
      <c r="C81" s="18"/>
      <c r="D81" s="18"/>
      <c r="E81" s="21" t="str">
        <f aca="false">IF(D81="","",IFERROR(VLOOKUP(D81,Listas!$A$5:$B$16,2,FALSE()),""))</f>
        <v/>
      </c>
      <c r="F81" s="22"/>
      <c r="G81" s="22"/>
      <c r="H81" s="22"/>
      <c r="I81" s="23"/>
      <c r="J81" s="18"/>
      <c r="K81" s="20" t="str">
        <f aca="false">IF(AND(A81="",B81="",D81="",F81=""),"",IF(OR(A81="",B81="",D81="",F81="",NOT(IFERROR(OR(IFERROR(AND(LEN(SUBSTITUTE(SUBSTITUTE(SUBSTITUTE(SUBSTITUTE(C81,".",""),"-","")," ",""),"/",""))=11,SUBSTITUTE(SUBSTITUTE(SUBSTITUTE(SUBSTITUTE(C81,".",""),"-","")," ",""),"/","")&lt;&gt;REPT(LEFT(SUBSTITUTE(SUBSTITUTE(SUBSTITUTE(SUBSTITUTE(C81,".",""),"-","")," ",""),"/",""),1),11),VALUE(MID(SUBSTITUTE(SUBSTITUTE(SUBSTITUTE(SUBSTITUTE(C81,".",""),"-","")," ",""),"/",""),10,1))=IF(MOD(SUMPRODUCT(--MID(SUBSTITUTE(SUBSTITUTE(SUBSTITUTE(SUBSTITUTE(C81,".",""),"-","")," ",""),"/",""),{1,2,3,4,5,6,7,8,9},1),{10,9,8,7,6,5,4,3,2}),11)&lt;2,0,11-MOD(SUMPRODUCT(--MID(SUBSTITUTE(SUBSTITUTE(SUBSTITUTE(SUBSTITUTE(C81,".",""),"-","")," ",""),"/",""),{1,2,3,4,5,6,7,8,9},1),{10,9,8,7,6,5,4,3,2}),11)),VALUE(MID(SUBSTITUTE(SUBSTITUTE(SUBSTITUTE(SUBSTITUTE(C81,".",""),"-","")," ",""),"/",""),11,1))=IF(MOD(SUMPRODUCT(--MID(SUBSTITUTE(SUBSTITUTE(SUBSTITUTE(SUBSTITUTE(C81,".",""),"-","")," ",""),"/",""),{1,2,3,4,5,6,7,8,9,10},1),{11,10,9,8,7,6,5,4,3,2}),11)&lt;2,0,11-MOD(SUMPRODUCT(--MID(SUBSTITUTE(SUBSTITUTE(SUBSTITUTE(SUBSTITUTE(C81,".",""),"-","")," ",""),"/",""),{1,2,3,4,5,6,7,8,9,10},1),{11,10,9,8,7,6,5,4,3,2}),11))),FALSE()),AND(LEN(SUBSTITUTE(SUBSTITUTE(SUBSTITUTE(SUBSTITUTE(C81,".",""),"-","")," ",""),"/",""))=14,ISNUMBER(VALUE(SUBSTITUTE(SUBSTITUTE(SUBSTITUTE(SUBSTITUTE(C81,".",""),"-","")," ",""),"/",""))))),FALSE())),G81&gt;F81),"Revisar",IF(I81&lt;&gt;"Sim","Falta informe","OK")))</f>
        <v/>
      </c>
    </row>
    <row r="82" customFormat="false" ht="15" hidden="false" customHeight="false" outlineLevel="0" collapsed="false">
      <c r="A82" s="19"/>
      <c r="B82" s="18"/>
      <c r="C82" s="18"/>
      <c r="D82" s="18"/>
      <c r="E82" s="21" t="str">
        <f aca="false">IF(D82="","",IFERROR(VLOOKUP(D82,Listas!$A$5:$B$16,2,FALSE()),""))</f>
        <v/>
      </c>
      <c r="F82" s="22"/>
      <c r="G82" s="22"/>
      <c r="H82" s="22"/>
      <c r="I82" s="23"/>
      <c r="J82" s="18"/>
      <c r="K82" s="20" t="str">
        <f aca="false">IF(AND(A82="",B82="",D82="",F82=""),"",IF(OR(A82="",B82="",D82="",F82="",NOT(IFERROR(OR(IFERROR(AND(LEN(SUBSTITUTE(SUBSTITUTE(SUBSTITUTE(SUBSTITUTE(C82,".",""),"-","")," ",""),"/",""))=11,SUBSTITUTE(SUBSTITUTE(SUBSTITUTE(SUBSTITUTE(C82,".",""),"-","")," ",""),"/","")&lt;&gt;REPT(LEFT(SUBSTITUTE(SUBSTITUTE(SUBSTITUTE(SUBSTITUTE(C82,".",""),"-","")," ",""),"/",""),1),11),VALUE(MID(SUBSTITUTE(SUBSTITUTE(SUBSTITUTE(SUBSTITUTE(C82,".",""),"-","")," ",""),"/",""),10,1))=IF(MOD(SUMPRODUCT(--MID(SUBSTITUTE(SUBSTITUTE(SUBSTITUTE(SUBSTITUTE(C82,".",""),"-","")," ",""),"/",""),{1,2,3,4,5,6,7,8,9},1),{10,9,8,7,6,5,4,3,2}),11)&lt;2,0,11-MOD(SUMPRODUCT(--MID(SUBSTITUTE(SUBSTITUTE(SUBSTITUTE(SUBSTITUTE(C82,".",""),"-","")," ",""),"/",""),{1,2,3,4,5,6,7,8,9},1),{10,9,8,7,6,5,4,3,2}),11)),VALUE(MID(SUBSTITUTE(SUBSTITUTE(SUBSTITUTE(SUBSTITUTE(C82,".",""),"-","")," ",""),"/",""),11,1))=IF(MOD(SUMPRODUCT(--MID(SUBSTITUTE(SUBSTITUTE(SUBSTITUTE(SUBSTITUTE(C82,".",""),"-","")," ",""),"/",""),{1,2,3,4,5,6,7,8,9,10},1),{11,10,9,8,7,6,5,4,3,2}),11)&lt;2,0,11-MOD(SUMPRODUCT(--MID(SUBSTITUTE(SUBSTITUTE(SUBSTITUTE(SUBSTITUTE(C82,".",""),"-","")," ",""),"/",""),{1,2,3,4,5,6,7,8,9,10},1),{11,10,9,8,7,6,5,4,3,2}),11))),FALSE()),AND(LEN(SUBSTITUTE(SUBSTITUTE(SUBSTITUTE(SUBSTITUTE(C82,".",""),"-","")," ",""),"/",""))=14,ISNUMBER(VALUE(SUBSTITUTE(SUBSTITUTE(SUBSTITUTE(SUBSTITUTE(C82,".",""),"-","")," ",""),"/",""))))),FALSE())),G82&gt;F82),"Revisar",IF(I82&lt;&gt;"Sim","Falta informe","OK")))</f>
        <v/>
      </c>
    </row>
    <row r="83" customFormat="false" ht="15" hidden="false" customHeight="false" outlineLevel="0" collapsed="false">
      <c r="A83" s="19"/>
      <c r="B83" s="18"/>
      <c r="C83" s="18"/>
      <c r="D83" s="18"/>
      <c r="E83" s="21" t="str">
        <f aca="false">IF(D83="","",IFERROR(VLOOKUP(D83,Listas!$A$5:$B$16,2,FALSE()),""))</f>
        <v/>
      </c>
      <c r="F83" s="22"/>
      <c r="G83" s="22"/>
      <c r="H83" s="22"/>
      <c r="I83" s="23"/>
      <c r="J83" s="18"/>
      <c r="K83" s="20" t="str">
        <f aca="false">IF(AND(A83="",B83="",D83="",F83=""),"",IF(OR(A83="",B83="",D83="",F83="",NOT(IFERROR(OR(IFERROR(AND(LEN(SUBSTITUTE(SUBSTITUTE(SUBSTITUTE(SUBSTITUTE(C83,".",""),"-","")," ",""),"/",""))=11,SUBSTITUTE(SUBSTITUTE(SUBSTITUTE(SUBSTITUTE(C83,".",""),"-","")," ",""),"/","")&lt;&gt;REPT(LEFT(SUBSTITUTE(SUBSTITUTE(SUBSTITUTE(SUBSTITUTE(C83,".",""),"-","")," ",""),"/",""),1),11),VALUE(MID(SUBSTITUTE(SUBSTITUTE(SUBSTITUTE(SUBSTITUTE(C83,".",""),"-","")," ",""),"/",""),10,1))=IF(MOD(SUMPRODUCT(--MID(SUBSTITUTE(SUBSTITUTE(SUBSTITUTE(SUBSTITUTE(C83,".",""),"-","")," ",""),"/",""),{1,2,3,4,5,6,7,8,9},1),{10,9,8,7,6,5,4,3,2}),11)&lt;2,0,11-MOD(SUMPRODUCT(--MID(SUBSTITUTE(SUBSTITUTE(SUBSTITUTE(SUBSTITUTE(C83,".",""),"-","")," ",""),"/",""),{1,2,3,4,5,6,7,8,9},1),{10,9,8,7,6,5,4,3,2}),11)),VALUE(MID(SUBSTITUTE(SUBSTITUTE(SUBSTITUTE(SUBSTITUTE(C83,".",""),"-","")," ",""),"/",""),11,1))=IF(MOD(SUMPRODUCT(--MID(SUBSTITUTE(SUBSTITUTE(SUBSTITUTE(SUBSTITUTE(C83,".",""),"-","")," ",""),"/",""),{1,2,3,4,5,6,7,8,9,10},1),{11,10,9,8,7,6,5,4,3,2}),11)&lt;2,0,11-MOD(SUMPRODUCT(--MID(SUBSTITUTE(SUBSTITUTE(SUBSTITUTE(SUBSTITUTE(C83,".",""),"-","")," ",""),"/",""),{1,2,3,4,5,6,7,8,9,10},1),{11,10,9,8,7,6,5,4,3,2}),11))),FALSE()),AND(LEN(SUBSTITUTE(SUBSTITUTE(SUBSTITUTE(SUBSTITUTE(C83,".",""),"-","")," ",""),"/",""))=14,ISNUMBER(VALUE(SUBSTITUTE(SUBSTITUTE(SUBSTITUTE(SUBSTITUTE(C83,".",""),"-","")," ",""),"/",""))))),FALSE())),G83&gt;F83),"Revisar",IF(I83&lt;&gt;"Sim","Falta informe","OK")))</f>
        <v/>
      </c>
    </row>
    <row r="84" customFormat="false" ht="15" hidden="false" customHeight="false" outlineLevel="0" collapsed="false">
      <c r="A84" s="19"/>
      <c r="B84" s="18"/>
      <c r="C84" s="18"/>
      <c r="D84" s="18"/>
      <c r="E84" s="21" t="str">
        <f aca="false">IF(D84="","",IFERROR(VLOOKUP(D84,Listas!$A$5:$B$16,2,FALSE()),""))</f>
        <v/>
      </c>
      <c r="F84" s="22"/>
      <c r="G84" s="22"/>
      <c r="H84" s="22"/>
      <c r="I84" s="23"/>
      <c r="J84" s="18"/>
      <c r="K84" s="20" t="str">
        <f aca="false">IF(AND(A84="",B84="",D84="",F84=""),"",IF(OR(A84="",B84="",D84="",F84="",NOT(IFERROR(OR(IFERROR(AND(LEN(SUBSTITUTE(SUBSTITUTE(SUBSTITUTE(SUBSTITUTE(C84,".",""),"-","")," ",""),"/",""))=11,SUBSTITUTE(SUBSTITUTE(SUBSTITUTE(SUBSTITUTE(C84,".",""),"-","")," ",""),"/","")&lt;&gt;REPT(LEFT(SUBSTITUTE(SUBSTITUTE(SUBSTITUTE(SUBSTITUTE(C84,".",""),"-","")," ",""),"/",""),1),11),VALUE(MID(SUBSTITUTE(SUBSTITUTE(SUBSTITUTE(SUBSTITUTE(C84,".",""),"-","")," ",""),"/",""),10,1))=IF(MOD(SUMPRODUCT(--MID(SUBSTITUTE(SUBSTITUTE(SUBSTITUTE(SUBSTITUTE(C84,".",""),"-","")," ",""),"/",""),{1,2,3,4,5,6,7,8,9},1),{10,9,8,7,6,5,4,3,2}),11)&lt;2,0,11-MOD(SUMPRODUCT(--MID(SUBSTITUTE(SUBSTITUTE(SUBSTITUTE(SUBSTITUTE(C84,".",""),"-","")," ",""),"/",""),{1,2,3,4,5,6,7,8,9},1),{10,9,8,7,6,5,4,3,2}),11)),VALUE(MID(SUBSTITUTE(SUBSTITUTE(SUBSTITUTE(SUBSTITUTE(C84,".",""),"-","")," ",""),"/",""),11,1))=IF(MOD(SUMPRODUCT(--MID(SUBSTITUTE(SUBSTITUTE(SUBSTITUTE(SUBSTITUTE(C84,".",""),"-","")," ",""),"/",""),{1,2,3,4,5,6,7,8,9,10},1),{11,10,9,8,7,6,5,4,3,2}),11)&lt;2,0,11-MOD(SUMPRODUCT(--MID(SUBSTITUTE(SUBSTITUTE(SUBSTITUTE(SUBSTITUTE(C84,".",""),"-","")," ",""),"/",""),{1,2,3,4,5,6,7,8,9,10},1),{11,10,9,8,7,6,5,4,3,2}),11))),FALSE()),AND(LEN(SUBSTITUTE(SUBSTITUTE(SUBSTITUTE(SUBSTITUTE(C84,".",""),"-","")," ",""),"/",""))=14,ISNUMBER(VALUE(SUBSTITUTE(SUBSTITUTE(SUBSTITUTE(SUBSTITUTE(C84,".",""),"-","")," ",""),"/",""))))),FALSE())),G84&gt;F84),"Revisar",IF(I84&lt;&gt;"Sim","Falta informe","OK")))</f>
        <v/>
      </c>
    </row>
    <row r="85" customFormat="false" ht="15" hidden="false" customHeight="false" outlineLevel="0" collapsed="false">
      <c r="A85" s="19"/>
      <c r="B85" s="18"/>
      <c r="C85" s="18"/>
      <c r="D85" s="18"/>
      <c r="E85" s="21" t="str">
        <f aca="false">IF(D85="","",IFERROR(VLOOKUP(D85,Listas!$A$5:$B$16,2,FALSE()),""))</f>
        <v/>
      </c>
      <c r="F85" s="22"/>
      <c r="G85" s="22"/>
      <c r="H85" s="22"/>
      <c r="I85" s="23"/>
      <c r="J85" s="18"/>
      <c r="K85" s="20" t="str">
        <f aca="false">IF(AND(A85="",B85="",D85="",F85=""),"",IF(OR(A85="",B85="",D85="",F85="",NOT(IFERROR(OR(IFERROR(AND(LEN(SUBSTITUTE(SUBSTITUTE(SUBSTITUTE(SUBSTITUTE(C85,".",""),"-","")," ",""),"/",""))=11,SUBSTITUTE(SUBSTITUTE(SUBSTITUTE(SUBSTITUTE(C85,".",""),"-","")," ",""),"/","")&lt;&gt;REPT(LEFT(SUBSTITUTE(SUBSTITUTE(SUBSTITUTE(SUBSTITUTE(C85,".",""),"-","")," ",""),"/",""),1),11),VALUE(MID(SUBSTITUTE(SUBSTITUTE(SUBSTITUTE(SUBSTITUTE(C85,".",""),"-","")," ",""),"/",""),10,1))=IF(MOD(SUMPRODUCT(--MID(SUBSTITUTE(SUBSTITUTE(SUBSTITUTE(SUBSTITUTE(C85,".",""),"-","")," ",""),"/",""),{1,2,3,4,5,6,7,8,9},1),{10,9,8,7,6,5,4,3,2}),11)&lt;2,0,11-MOD(SUMPRODUCT(--MID(SUBSTITUTE(SUBSTITUTE(SUBSTITUTE(SUBSTITUTE(C85,".",""),"-","")," ",""),"/",""),{1,2,3,4,5,6,7,8,9},1),{10,9,8,7,6,5,4,3,2}),11)),VALUE(MID(SUBSTITUTE(SUBSTITUTE(SUBSTITUTE(SUBSTITUTE(C85,".",""),"-","")," ",""),"/",""),11,1))=IF(MOD(SUMPRODUCT(--MID(SUBSTITUTE(SUBSTITUTE(SUBSTITUTE(SUBSTITUTE(C85,".",""),"-","")," ",""),"/",""),{1,2,3,4,5,6,7,8,9,10},1),{11,10,9,8,7,6,5,4,3,2}),11)&lt;2,0,11-MOD(SUMPRODUCT(--MID(SUBSTITUTE(SUBSTITUTE(SUBSTITUTE(SUBSTITUTE(C85,".",""),"-","")," ",""),"/",""),{1,2,3,4,5,6,7,8,9,10},1),{11,10,9,8,7,6,5,4,3,2}),11))),FALSE()),AND(LEN(SUBSTITUTE(SUBSTITUTE(SUBSTITUTE(SUBSTITUTE(C85,".",""),"-","")," ",""),"/",""))=14,ISNUMBER(VALUE(SUBSTITUTE(SUBSTITUTE(SUBSTITUTE(SUBSTITUTE(C85,".",""),"-","")," ",""),"/",""))))),FALSE())),G85&gt;F85),"Revisar",IF(I85&lt;&gt;"Sim","Falta informe","OK")))</f>
        <v/>
      </c>
    </row>
    <row r="86" customFormat="false" ht="15" hidden="false" customHeight="false" outlineLevel="0" collapsed="false">
      <c r="A86" s="19"/>
      <c r="B86" s="18"/>
      <c r="C86" s="18"/>
      <c r="D86" s="18"/>
      <c r="E86" s="21" t="str">
        <f aca="false">IF(D86="","",IFERROR(VLOOKUP(D86,Listas!$A$5:$B$16,2,FALSE()),""))</f>
        <v/>
      </c>
      <c r="F86" s="22"/>
      <c r="G86" s="22"/>
      <c r="H86" s="22"/>
      <c r="I86" s="23"/>
      <c r="J86" s="18"/>
      <c r="K86" s="20" t="str">
        <f aca="false">IF(AND(A86="",B86="",D86="",F86=""),"",IF(OR(A86="",B86="",D86="",F86="",NOT(IFERROR(OR(IFERROR(AND(LEN(SUBSTITUTE(SUBSTITUTE(SUBSTITUTE(SUBSTITUTE(C86,".",""),"-","")," ",""),"/",""))=11,SUBSTITUTE(SUBSTITUTE(SUBSTITUTE(SUBSTITUTE(C86,".",""),"-","")," ",""),"/","")&lt;&gt;REPT(LEFT(SUBSTITUTE(SUBSTITUTE(SUBSTITUTE(SUBSTITUTE(C86,".",""),"-","")," ",""),"/",""),1),11),VALUE(MID(SUBSTITUTE(SUBSTITUTE(SUBSTITUTE(SUBSTITUTE(C86,".",""),"-","")," ",""),"/",""),10,1))=IF(MOD(SUMPRODUCT(--MID(SUBSTITUTE(SUBSTITUTE(SUBSTITUTE(SUBSTITUTE(C86,".",""),"-","")," ",""),"/",""),{1,2,3,4,5,6,7,8,9},1),{10,9,8,7,6,5,4,3,2}),11)&lt;2,0,11-MOD(SUMPRODUCT(--MID(SUBSTITUTE(SUBSTITUTE(SUBSTITUTE(SUBSTITUTE(C86,".",""),"-","")," ",""),"/",""),{1,2,3,4,5,6,7,8,9},1),{10,9,8,7,6,5,4,3,2}),11)),VALUE(MID(SUBSTITUTE(SUBSTITUTE(SUBSTITUTE(SUBSTITUTE(C86,".",""),"-","")," ",""),"/",""),11,1))=IF(MOD(SUMPRODUCT(--MID(SUBSTITUTE(SUBSTITUTE(SUBSTITUTE(SUBSTITUTE(C86,".",""),"-","")," ",""),"/",""),{1,2,3,4,5,6,7,8,9,10},1),{11,10,9,8,7,6,5,4,3,2}),11)&lt;2,0,11-MOD(SUMPRODUCT(--MID(SUBSTITUTE(SUBSTITUTE(SUBSTITUTE(SUBSTITUTE(C86,".",""),"-","")," ",""),"/",""),{1,2,3,4,5,6,7,8,9,10},1),{11,10,9,8,7,6,5,4,3,2}),11))),FALSE()),AND(LEN(SUBSTITUTE(SUBSTITUTE(SUBSTITUTE(SUBSTITUTE(C86,".",""),"-","")," ",""),"/",""))=14,ISNUMBER(VALUE(SUBSTITUTE(SUBSTITUTE(SUBSTITUTE(SUBSTITUTE(C86,".",""),"-","")," ",""),"/",""))))),FALSE())),G86&gt;F86),"Revisar",IF(I86&lt;&gt;"Sim","Falta informe","OK")))</f>
        <v/>
      </c>
    </row>
    <row r="87" customFormat="false" ht="15" hidden="false" customHeight="false" outlineLevel="0" collapsed="false">
      <c r="A87" s="19"/>
      <c r="B87" s="18"/>
      <c r="C87" s="18"/>
      <c r="D87" s="18"/>
      <c r="E87" s="21" t="str">
        <f aca="false">IF(D87="","",IFERROR(VLOOKUP(D87,Listas!$A$5:$B$16,2,FALSE()),""))</f>
        <v/>
      </c>
      <c r="F87" s="22"/>
      <c r="G87" s="22"/>
      <c r="H87" s="22"/>
      <c r="I87" s="23"/>
      <c r="J87" s="18"/>
      <c r="K87" s="20" t="str">
        <f aca="false">IF(AND(A87="",B87="",D87="",F87=""),"",IF(OR(A87="",B87="",D87="",F87="",NOT(IFERROR(OR(IFERROR(AND(LEN(SUBSTITUTE(SUBSTITUTE(SUBSTITUTE(SUBSTITUTE(C87,".",""),"-","")," ",""),"/",""))=11,SUBSTITUTE(SUBSTITUTE(SUBSTITUTE(SUBSTITUTE(C87,".",""),"-","")," ",""),"/","")&lt;&gt;REPT(LEFT(SUBSTITUTE(SUBSTITUTE(SUBSTITUTE(SUBSTITUTE(C87,".",""),"-","")," ",""),"/",""),1),11),VALUE(MID(SUBSTITUTE(SUBSTITUTE(SUBSTITUTE(SUBSTITUTE(C87,".",""),"-","")," ",""),"/",""),10,1))=IF(MOD(SUMPRODUCT(--MID(SUBSTITUTE(SUBSTITUTE(SUBSTITUTE(SUBSTITUTE(C87,".",""),"-","")," ",""),"/",""),{1,2,3,4,5,6,7,8,9},1),{10,9,8,7,6,5,4,3,2}),11)&lt;2,0,11-MOD(SUMPRODUCT(--MID(SUBSTITUTE(SUBSTITUTE(SUBSTITUTE(SUBSTITUTE(C87,".",""),"-","")," ",""),"/",""),{1,2,3,4,5,6,7,8,9},1),{10,9,8,7,6,5,4,3,2}),11)),VALUE(MID(SUBSTITUTE(SUBSTITUTE(SUBSTITUTE(SUBSTITUTE(C87,".",""),"-","")," ",""),"/",""),11,1))=IF(MOD(SUMPRODUCT(--MID(SUBSTITUTE(SUBSTITUTE(SUBSTITUTE(SUBSTITUTE(C87,".",""),"-","")," ",""),"/",""),{1,2,3,4,5,6,7,8,9,10},1),{11,10,9,8,7,6,5,4,3,2}),11)&lt;2,0,11-MOD(SUMPRODUCT(--MID(SUBSTITUTE(SUBSTITUTE(SUBSTITUTE(SUBSTITUTE(C87,".",""),"-","")," ",""),"/",""),{1,2,3,4,5,6,7,8,9,10},1),{11,10,9,8,7,6,5,4,3,2}),11))),FALSE()),AND(LEN(SUBSTITUTE(SUBSTITUTE(SUBSTITUTE(SUBSTITUTE(C87,".",""),"-","")," ",""),"/",""))=14,ISNUMBER(VALUE(SUBSTITUTE(SUBSTITUTE(SUBSTITUTE(SUBSTITUTE(C87,".",""),"-","")," ",""),"/",""))))),FALSE())),G87&gt;F87),"Revisar",IF(I87&lt;&gt;"Sim","Falta informe","OK")))</f>
        <v/>
      </c>
    </row>
    <row r="88" customFormat="false" ht="15" hidden="false" customHeight="false" outlineLevel="0" collapsed="false">
      <c r="A88" s="19"/>
      <c r="B88" s="18"/>
      <c r="C88" s="18"/>
      <c r="D88" s="18"/>
      <c r="E88" s="21" t="str">
        <f aca="false">IF(D88="","",IFERROR(VLOOKUP(D88,Listas!$A$5:$B$16,2,FALSE()),""))</f>
        <v/>
      </c>
      <c r="F88" s="22"/>
      <c r="G88" s="22"/>
      <c r="H88" s="22"/>
      <c r="I88" s="23"/>
      <c r="J88" s="18"/>
      <c r="K88" s="20" t="str">
        <f aca="false">IF(AND(A88="",B88="",D88="",F88=""),"",IF(OR(A88="",B88="",D88="",F88="",NOT(IFERROR(OR(IFERROR(AND(LEN(SUBSTITUTE(SUBSTITUTE(SUBSTITUTE(SUBSTITUTE(C88,".",""),"-","")," ",""),"/",""))=11,SUBSTITUTE(SUBSTITUTE(SUBSTITUTE(SUBSTITUTE(C88,".",""),"-","")," ",""),"/","")&lt;&gt;REPT(LEFT(SUBSTITUTE(SUBSTITUTE(SUBSTITUTE(SUBSTITUTE(C88,".",""),"-","")," ",""),"/",""),1),11),VALUE(MID(SUBSTITUTE(SUBSTITUTE(SUBSTITUTE(SUBSTITUTE(C88,".",""),"-","")," ",""),"/",""),10,1))=IF(MOD(SUMPRODUCT(--MID(SUBSTITUTE(SUBSTITUTE(SUBSTITUTE(SUBSTITUTE(C88,".",""),"-","")," ",""),"/",""),{1,2,3,4,5,6,7,8,9},1),{10,9,8,7,6,5,4,3,2}),11)&lt;2,0,11-MOD(SUMPRODUCT(--MID(SUBSTITUTE(SUBSTITUTE(SUBSTITUTE(SUBSTITUTE(C88,".",""),"-","")," ",""),"/",""),{1,2,3,4,5,6,7,8,9},1),{10,9,8,7,6,5,4,3,2}),11)),VALUE(MID(SUBSTITUTE(SUBSTITUTE(SUBSTITUTE(SUBSTITUTE(C88,".",""),"-","")," ",""),"/",""),11,1))=IF(MOD(SUMPRODUCT(--MID(SUBSTITUTE(SUBSTITUTE(SUBSTITUTE(SUBSTITUTE(C88,".",""),"-","")," ",""),"/",""),{1,2,3,4,5,6,7,8,9,10},1),{11,10,9,8,7,6,5,4,3,2}),11)&lt;2,0,11-MOD(SUMPRODUCT(--MID(SUBSTITUTE(SUBSTITUTE(SUBSTITUTE(SUBSTITUTE(C88,".",""),"-","")," ",""),"/",""),{1,2,3,4,5,6,7,8,9,10},1),{11,10,9,8,7,6,5,4,3,2}),11))),FALSE()),AND(LEN(SUBSTITUTE(SUBSTITUTE(SUBSTITUTE(SUBSTITUTE(C88,".",""),"-","")," ",""),"/",""))=14,ISNUMBER(VALUE(SUBSTITUTE(SUBSTITUTE(SUBSTITUTE(SUBSTITUTE(C88,".",""),"-","")," ",""),"/",""))))),FALSE())),G88&gt;F88),"Revisar",IF(I88&lt;&gt;"Sim","Falta informe","OK")))</f>
        <v/>
      </c>
    </row>
    <row r="89" customFormat="false" ht="15" hidden="false" customHeight="false" outlineLevel="0" collapsed="false">
      <c r="A89" s="19"/>
      <c r="B89" s="18"/>
      <c r="C89" s="18"/>
      <c r="D89" s="18"/>
      <c r="E89" s="21" t="str">
        <f aca="false">IF(D89="","",IFERROR(VLOOKUP(D89,Listas!$A$5:$B$16,2,FALSE()),""))</f>
        <v/>
      </c>
      <c r="F89" s="22"/>
      <c r="G89" s="22"/>
      <c r="H89" s="22"/>
      <c r="I89" s="23"/>
      <c r="J89" s="18"/>
      <c r="K89" s="20" t="str">
        <f aca="false">IF(AND(A89="",B89="",D89="",F89=""),"",IF(OR(A89="",B89="",D89="",F89="",NOT(IFERROR(OR(IFERROR(AND(LEN(SUBSTITUTE(SUBSTITUTE(SUBSTITUTE(SUBSTITUTE(C89,".",""),"-","")," ",""),"/",""))=11,SUBSTITUTE(SUBSTITUTE(SUBSTITUTE(SUBSTITUTE(C89,".",""),"-","")," ",""),"/","")&lt;&gt;REPT(LEFT(SUBSTITUTE(SUBSTITUTE(SUBSTITUTE(SUBSTITUTE(C89,".",""),"-","")," ",""),"/",""),1),11),VALUE(MID(SUBSTITUTE(SUBSTITUTE(SUBSTITUTE(SUBSTITUTE(C89,".",""),"-","")," ",""),"/",""),10,1))=IF(MOD(SUMPRODUCT(--MID(SUBSTITUTE(SUBSTITUTE(SUBSTITUTE(SUBSTITUTE(C89,".",""),"-","")," ",""),"/",""),{1,2,3,4,5,6,7,8,9},1),{10,9,8,7,6,5,4,3,2}),11)&lt;2,0,11-MOD(SUMPRODUCT(--MID(SUBSTITUTE(SUBSTITUTE(SUBSTITUTE(SUBSTITUTE(C89,".",""),"-","")," ",""),"/",""),{1,2,3,4,5,6,7,8,9},1),{10,9,8,7,6,5,4,3,2}),11)),VALUE(MID(SUBSTITUTE(SUBSTITUTE(SUBSTITUTE(SUBSTITUTE(C89,".",""),"-","")," ",""),"/",""),11,1))=IF(MOD(SUMPRODUCT(--MID(SUBSTITUTE(SUBSTITUTE(SUBSTITUTE(SUBSTITUTE(C89,".",""),"-","")," ",""),"/",""),{1,2,3,4,5,6,7,8,9,10},1),{11,10,9,8,7,6,5,4,3,2}),11)&lt;2,0,11-MOD(SUMPRODUCT(--MID(SUBSTITUTE(SUBSTITUTE(SUBSTITUTE(SUBSTITUTE(C89,".",""),"-","")," ",""),"/",""),{1,2,3,4,5,6,7,8,9,10},1),{11,10,9,8,7,6,5,4,3,2}),11))),FALSE()),AND(LEN(SUBSTITUTE(SUBSTITUTE(SUBSTITUTE(SUBSTITUTE(C89,".",""),"-","")," ",""),"/",""))=14,ISNUMBER(VALUE(SUBSTITUTE(SUBSTITUTE(SUBSTITUTE(SUBSTITUTE(C89,".",""),"-","")," ",""),"/",""))))),FALSE())),G89&gt;F89),"Revisar",IF(I89&lt;&gt;"Sim","Falta informe","OK")))</f>
        <v/>
      </c>
    </row>
    <row r="90" customFormat="false" ht="15" hidden="false" customHeight="false" outlineLevel="0" collapsed="false">
      <c r="A90" s="19"/>
      <c r="B90" s="18"/>
      <c r="C90" s="18"/>
      <c r="D90" s="18"/>
      <c r="E90" s="21" t="str">
        <f aca="false">IF(D90="","",IFERROR(VLOOKUP(D90,Listas!$A$5:$B$16,2,FALSE()),""))</f>
        <v/>
      </c>
      <c r="F90" s="22"/>
      <c r="G90" s="22"/>
      <c r="H90" s="22"/>
      <c r="I90" s="23"/>
      <c r="J90" s="18"/>
      <c r="K90" s="20" t="str">
        <f aca="false">IF(AND(A90="",B90="",D90="",F90=""),"",IF(OR(A90="",B90="",D90="",F90="",NOT(IFERROR(OR(IFERROR(AND(LEN(SUBSTITUTE(SUBSTITUTE(SUBSTITUTE(SUBSTITUTE(C90,".",""),"-","")," ",""),"/",""))=11,SUBSTITUTE(SUBSTITUTE(SUBSTITUTE(SUBSTITUTE(C90,".",""),"-","")," ",""),"/","")&lt;&gt;REPT(LEFT(SUBSTITUTE(SUBSTITUTE(SUBSTITUTE(SUBSTITUTE(C90,".",""),"-","")," ",""),"/",""),1),11),VALUE(MID(SUBSTITUTE(SUBSTITUTE(SUBSTITUTE(SUBSTITUTE(C90,".",""),"-","")," ",""),"/",""),10,1))=IF(MOD(SUMPRODUCT(--MID(SUBSTITUTE(SUBSTITUTE(SUBSTITUTE(SUBSTITUTE(C90,".",""),"-","")," ",""),"/",""),{1,2,3,4,5,6,7,8,9},1),{10,9,8,7,6,5,4,3,2}),11)&lt;2,0,11-MOD(SUMPRODUCT(--MID(SUBSTITUTE(SUBSTITUTE(SUBSTITUTE(SUBSTITUTE(C90,".",""),"-","")," ",""),"/",""),{1,2,3,4,5,6,7,8,9},1),{10,9,8,7,6,5,4,3,2}),11)),VALUE(MID(SUBSTITUTE(SUBSTITUTE(SUBSTITUTE(SUBSTITUTE(C90,".",""),"-","")," ",""),"/",""),11,1))=IF(MOD(SUMPRODUCT(--MID(SUBSTITUTE(SUBSTITUTE(SUBSTITUTE(SUBSTITUTE(C90,".",""),"-","")," ",""),"/",""),{1,2,3,4,5,6,7,8,9,10},1),{11,10,9,8,7,6,5,4,3,2}),11)&lt;2,0,11-MOD(SUMPRODUCT(--MID(SUBSTITUTE(SUBSTITUTE(SUBSTITUTE(SUBSTITUTE(C90,".",""),"-","")," ",""),"/",""),{1,2,3,4,5,6,7,8,9,10},1),{11,10,9,8,7,6,5,4,3,2}),11))),FALSE()),AND(LEN(SUBSTITUTE(SUBSTITUTE(SUBSTITUTE(SUBSTITUTE(C90,".",""),"-","")," ",""),"/",""))=14,ISNUMBER(VALUE(SUBSTITUTE(SUBSTITUTE(SUBSTITUTE(SUBSTITUTE(C90,".",""),"-","")," ",""),"/",""))))),FALSE())),G90&gt;F90),"Revisar",IF(I90&lt;&gt;"Sim","Falta informe","OK")))</f>
        <v/>
      </c>
    </row>
    <row r="91" customFormat="false" ht="15" hidden="false" customHeight="false" outlineLevel="0" collapsed="false">
      <c r="A91" s="19"/>
      <c r="B91" s="18"/>
      <c r="C91" s="18"/>
      <c r="D91" s="18"/>
      <c r="E91" s="21" t="str">
        <f aca="false">IF(D91="","",IFERROR(VLOOKUP(D91,Listas!$A$5:$B$16,2,FALSE()),""))</f>
        <v/>
      </c>
      <c r="F91" s="22"/>
      <c r="G91" s="22"/>
      <c r="H91" s="22"/>
      <c r="I91" s="23"/>
      <c r="J91" s="18"/>
      <c r="K91" s="20" t="str">
        <f aca="false">IF(AND(A91="",B91="",D91="",F91=""),"",IF(OR(A91="",B91="",D91="",F91="",NOT(IFERROR(OR(IFERROR(AND(LEN(SUBSTITUTE(SUBSTITUTE(SUBSTITUTE(SUBSTITUTE(C91,".",""),"-","")," ",""),"/",""))=11,SUBSTITUTE(SUBSTITUTE(SUBSTITUTE(SUBSTITUTE(C91,".",""),"-","")," ",""),"/","")&lt;&gt;REPT(LEFT(SUBSTITUTE(SUBSTITUTE(SUBSTITUTE(SUBSTITUTE(C91,".",""),"-","")," ",""),"/",""),1),11),VALUE(MID(SUBSTITUTE(SUBSTITUTE(SUBSTITUTE(SUBSTITUTE(C91,".",""),"-","")," ",""),"/",""),10,1))=IF(MOD(SUMPRODUCT(--MID(SUBSTITUTE(SUBSTITUTE(SUBSTITUTE(SUBSTITUTE(C91,".",""),"-","")," ",""),"/",""),{1,2,3,4,5,6,7,8,9},1),{10,9,8,7,6,5,4,3,2}),11)&lt;2,0,11-MOD(SUMPRODUCT(--MID(SUBSTITUTE(SUBSTITUTE(SUBSTITUTE(SUBSTITUTE(C91,".",""),"-","")," ",""),"/",""),{1,2,3,4,5,6,7,8,9},1),{10,9,8,7,6,5,4,3,2}),11)),VALUE(MID(SUBSTITUTE(SUBSTITUTE(SUBSTITUTE(SUBSTITUTE(C91,".",""),"-","")," ",""),"/",""),11,1))=IF(MOD(SUMPRODUCT(--MID(SUBSTITUTE(SUBSTITUTE(SUBSTITUTE(SUBSTITUTE(C91,".",""),"-","")," ",""),"/",""),{1,2,3,4,5,6,7,8,9,10},1),{11,10,9,8,7,6,5,4,3,2}),11)&lt;2,0,11-MOD(SUMPRODUCT(--MID(SUBSTITUTE(SUBSTITUTE(SUBSTITUTE(SUBSTITUTE(C91,".",""),"-","")," ",""),"/",""),{1,2,3,4,5,6,7,8,9,10},1),{11,10,9,8,7,6,5,4,3,2}),11))),FALSE()),AND(LEN(SUBSTITUTE(SUBSTITUTE(SUBSTITUTE(SUBSTITUTE(C91,".",""),"-","")," ",""),"/",""))=14,ISNUMBER(VALUE(SUBSTITUTE(SUBSTITUTE(SUBSTITUTE(SUBSTITUTE(C91,".",""),"-","")," ",""),"/",""))))),FALSE())),G91&gt;F91),"Revisar",IF(I91&lt;&gt;"Sim","Falta informe","OK")))</f>
        <v/>
      </c>
    </row>
    <row r="92" customFormat="false" ht="15" hidden="false" customHeight="false" outlineLevel="0" collapsed="false">
      <c r="A92" s="19"/>
      <c r="B92" s="18"/>
      <c r="C92" s="18"/>
      <c r="D92" s="18"/>
      <c r="E92" s="21" t="str">
        <f aca="false">IF(D92="","",IFERROR(VLOOKUP(D92,Listas!$A$5:$B$16,2,FALSE()),""))</f>
        <v/>
      </c>
      <c r="F92" s="22"/>
      <c r="G92" s="22"/>
      <c r="H92" s="22"/>
      <c r="I92" s="23"/>
      <c r="J92" s="18"/>
      <c r="K92" s="20" t="str">
        <f aca="false">IF(AND(A92="",B92="",D92="",F92=""),"",IF(OR(A92="",B92="",D92="",F92="",NOT(IFERROR(OR(IFERROR(AND(LEN(SUBSTITUTE(SUBSTITUTE(SUBSTITUTE(SUBSTITUTE(C92,".",""),"-","")," ",""),"/",""))=11,SUBSTITUTE(SUBSTITUTE(SUBSTITUTE(SUBSTITUTE(C92,".",""),"-","")," ",""),"/","")&lt;&gt;REPT(LEFT(SUBSTITUTE(SUBSTITUTE(SUBSTITUTE(SUBSTITUTE(C92,".",""),"-","")," ",""),"/",""),1),11),VALUE(MID(SUBSTITUTE(SUBSTITUTE(SUBSTITUTE(SUBSTITUTE(C92,".",""),"-","")," ",""),"/",""),10,1))=IF(MOD(SUMPRODUCT(--MID(SUBSTITUTE(SUBSTITUTE(SUBSTITUTE(SUBSTITUTE(C92,".",""),"-","")," ",""),"/",""),{1,2,3,4,5,6,7,8,9},1),{10,9,8,7,6,5,4,3,2}),11)&lt;2,0,11-MOD(SUMPRODUCT(--MID(SUBSTITUTE(SUBSTITUTE(SUBSTITUTE(SUBSTITUTE(C92,".",""),"-","")," ",""),"/",""),{1,2,3,4,5,6,7,8,9},1),{10,9,8,7,6,5,4,3,2}),11)),VALUE(MID(SUBSTITUTE(SUBSTITUTE(SUBSTITUTE(SUBSTITUTE(C92,".",""),"-","")," ",""),"/",""),11,1))=IF(MOD(SUMPRODUCT(--MID(SUBSTITUTE(SUBSTITUTE(SUBSTITUTE(SUBSTITUTE(C92,".",""),"-","")," ",""),"/",""),{1,2,3,4,5,6,7,8,9,10},1),{11,10,9,8,7,6,5,4,3,2}),11)&lt;2,0,11-MOD(SUMPRODUCT(--MID(SUBSTITUTE(SUBSTITUTE(SUBSTITUTE(SUBSTITUTE(C92,".",""),"-","")," ",""),"/",""),{1,2,3,4,5,6,7,8,9,10},1),{11,10,9,8,7,6,5,4,3,2}),11))),FALSE()),AND(LEN(SUBSTITUTE(SUBSTITUTE(SUBSTITUTE(SUBSTITUTE(C92,".",""),"-","")," ",""),"/",""))=14,ISNUMBER(VALUE(SUBSTITUTE(SUBSTITUTE(SUBSTITUTE(SUBSTITUTE(C92,".",""),"-","")," ",""),"/",""))))),FALSE())),G92&gt;F92),"Revisar",IF(I92&lt;&gt;"Sim","Falta informe","OK")))</f>
        <v/>
      </c>
    </row>
    <row r="93" customFormat="false" ht="15" hidden="false" customHeight="false" outlineLevel="0" collapsed="false">
      <c r="A93" s="19"/>
      <c r="B93" s="18"/>
      <c r="C93" s="18"/>
      <c r="D93" s="18"/>
      <c r="E93" s="21" t="str">
        <f aca="false">IF(D93="","",IFERROR(VLOOKUP(D93,Listas!$A$5:$B$16,2,FALSE()),""))</f>
        <v/>
      </c>
      <c r="F93" s="22"/>
      <c r="G93" s="22"/>
      <c r="H93" s="22"/>
      <c r="I93" s="23"/>
      <c r="J93" s="18"/>
      <c r="K93" s="20" t="str">
        <f aca="false">IF(AND(A93="",B93="",D93="",F93=""),"",IF(OR(A93="",B93="",D93="",F93="",NOT(IFERROR(OR(IFERROR(AND(LEN(SUBSTITUTE(SUBSTITUTE(SUBSTITUTE(SUBSTITUTE(C93,".",""),"-","")," ",""),"/",""))=11,SUBSTITUTE(SUBSTITUTE(SUBSTITUTE(SUBSTITUTE(C93,".",""),"-","")," ",""),"/","")&lt;&gt;REPT(LEFT(SUBSTITUTE(SUBSTITUTE(SUBSTITUTE(SUBSTITUTE(C93,".",""),"-","")," ",""),"/",""),1),11),VALUE(MID(SUBSTITUTE(SUBSTITUTE(SUBSTITUTE(SUBSTITUTE(C93,".",""),"-","")," ",""),"/",""),10,1))=IF(MOD(SUMPRODUCT(--MID(SUBSTITUTE(SUBSTITUTE(SUBSTITUTE(SUBSTITUTE(C93,".",""),"-","")," ",""),"/",""),{1,2,3,4,5,6,7,8,9},1),{10,9,8,7,6,5,4,3,2}),11)&lt;2,0,11-MOD(SUMPRODUCT(--MID(SUBSTITUTE(SUBSTITUTE(SUBSTITUTE(SUBSTITUTE(C93,".",""),"-","")," ",""),"/",""),{1,2,3,4,5,6,7,8,9},1),{10,9,8,7,6,5,4,3,2}),11)),VALUE(MID(SUBSTITUTE(SUBSTITUTE(SUBSTITUTE(SUBSTITUTE(C93,".",""),"-","")," ",""),"/",""),11,1))=IF(MOD(SUMPRODUCT(--MID(SUBSTITUTE(SUBSTITUTE(SUBSTITUTE(SUBSTITUTE(C93,".",""),"-","")," ",""),"/",""),{1,2,3,4,5,6,7,8,9,10},1),{11,10,9,8,7,6,5,4,3,2}),11)&lt;2,0,11-MOD(SUMPRODUCT(--MID(SUBSTITUTE(SUBSTITUTE(SUBSTITUTE(SUBSTITUTE(C93,".",""),"-","")," ",""),"/",""),{1,2,3,4,5,6,7,8,9,10},1),{11,10,9,8,7,6,5,4,3,2}),11))),FALSE()),AND(LEN(SUBSTITUTE(SUBSTITUTE(SUBSTITUTE(SUBSTITUTE(C93,".",""),"-","")," ",""),"/",""))=14,ISNUMBER(VALUE(SUBSTITUTE(SUBSTITUTE(SUBSTITUTE(SUBSTITUTE(C93,".",""),"-","")," ",""),"/",""))))),FALSE())),G93&gt;F93),"Revisar",IF(I93&lt;&gt;"Sim","Falta informe","OK")))</f>
        <v/>
      </c>
    </row>
    <row r="94" customFormat="false" ht="15" hidden="false" customHeight="false" outlineLevel="0" collapsed="false">
      <c r="A94" s="19"/>
      <c r="B94" s="18"/>
      <c r="C94" s="18"/>
      <c r="D94" s="18"/>
      <c r="E94" s="21" t="str">
        <f aca="false">IF(D94="","",IFERROR(VLOOKUP(D94,Listas!$A$5:$B$16,2,FALSE()),""))</f>
        <v/>
      </c>
      <c r="F94" s="22"/>
      <c r="G94" s="22"/>
      <c r="H94" s="22"/>
      <c r="I94" s="23"/>
      <c r="J94" s="18"/>
      <c r="K94" s="20" t="str">
        <f aca="false">IF(AND(A94="",B94="",D94="",F94=""),"",IF(OR(A94="",B94="",D94="",F94="",NOT(IFERROR(OR(IFERROR(AND(LEN(SUBSTITUTE(SUBSTITUTE(SUBSTITUTE(SUBSTITUTE(C94,".",""),"-","")," ",""),"/",""))=11,SUBSTITUTE(SUBSTITUTE(SUBSTITUTE(SUBSTITUTE(C94,".",""),"-","")," ",""),"/","")&lt;&gt;REPT(LEFT(SUBSTITUTE(SUBSTITUTE(SUBSTITUTE(SUBSTITUTE(C94,".",""),"-","")," ",""),"/",""),1),11),VALUE(MID(SUBSTITUTE(SUBSTITUTE(SUBSTITUTE(SUBSTITUTE(C94,".",""),"-","")," ",""),"/",""),10,1))=IF(MOD(SUMPRODUCT(--MID(SUBSTITUTE(SUBSTITUTE(SUBSTITUTE(SUBSTITUTE(C94,".",""),"-","")," ",""),"/",""),{1,2,3,4,5,6,7,8,9},1),{10,9,8,7,6,5,4,3,2}),11)&lt;2,0,11-MOD(SUMPRODUCT(--MID(SUBSTITUTE(SUBSTITUTE(SUBSTITUTE(SUBSTITUTE(C94,".",""),"-","")," ",""),"/",""),{1,2,3,4,5,6,7,8,9},1),{10,9,8,7,6,5,4,3,2}),11)),VALUE(MID(SUBSTITUTE(SUBSTITUTE(SUBSTITUTE(SUBSTITUTE(C94,".",""),"-","")," ",""),"/",""),11,1))=IF(MOD(SUMPRODUCT(--MID(SUBSTITUTE(SUBSTITUTE(SUBSTITUTE(SUBSTITUTE(C94,".",""),"-","")," ",""),"/",""),{1,2,3,4,5,6,7,8,9,10},1),{11,10,9,8,7,6,5,4,3,2}),11)&lt;2,0,11-MOD(SUMPRODUCT(--MID(SUBSTITUTE(SUBSTITUTE(SUBSTITUTE(SUBSTITUTE(C94,".",""),"-","")," ",""),"/",""),{1,2,3,4,5,6,7,8,9,10},1),{11,10,9,8,7,6,5,4,3,2}),11))),FALSE()),AND(LEN(SUBSTITUTE(SUBSTITUTE(SUBSTITUTE(SUBSTITUTE(C94,".",""),"-","")," ",""),"/",""))=14,ISNUMBER(VALUE(SUBSTITUTE(SUBSTITUTE(SUBSTITUTE(SUBSTITUTE(C94,".",""),"-","")," ",""),"/",""))))),FALSE())),G94&gt;F94),"Revisar",IF(I94&lt;&gt;"Sim","Falta informe","OK")))</f>
        <v/>
      </c>
    </row>
    <row r="95" customFormat="false" ht="15" hidden="false" customHeight="false" outlineLevel="0" collapsed="false">
      <c r="A95" s="19"/>
      <c r="B95" s="18"/>
      <c r="C95" s="18"/>
      <c r="D95" s="18"/>
      <c r="E95" s="21" t="str">
        <f aca="false">IF(D95="","",IFERROR(VLOOKUP(D95,Listas!$A$5:$B$16,2,FALSE()),""))</f>
        <v/>
      </c>
      <c r="F95" s="22"/>
      <c r="G95" s="22"/>
      <c r="H95" s="22"/>
      <c r="I95" s="23"/>
      <c r="J95" s="18"/>
      <c r="K95" s="20" t="str">
        <f aca="false">IF(AND(A95="",B95="",D95="",F95=""),"",IF(OR(A95="",B95="",D95="",F95="",NOT(IFERROR(OR(IFERROR(AND(LEN(SUBSTITUTE(SUBSTITUTE(SUBSTITUTE(SUBSTITUTE(C95,".",""),"-","")," ",""),"/",""))=11,SUBSTITUTE(SUBSTITUTE(SUBSTITUTE(SUBSTITUTE(C95,".",""),"-","")," ",""),"/","")&lt;&gt;REPT(LEFT(SUBSTITUTE(SUBSTITUTE(SUBSTITUTE(SUBSTITUTE(C95,".",""),"-","")," ",""),"/",""),1),11),VALUE(MID(SUBSTITUTE(SUBSTITUTE(SUBSTITUTE(SUBSTITUTE(C95,".",""),"-","")," ",""),"/",""),10,1))=IF(MOD(SUMPRODUCT(--MID(SUBSTITUTE(SUBSTITUTE(SUBSTITUTE(SUBSTITUTE(C95,".",""),"-","")," ",""),"/",""),{1,2,3,4,5,6,7,8,9},1),{10,9,8,7,6,5,4,3,2}),11)&lt;2,0,11-MOD(SUMPRODUCT(--MID(SUBSTITUTE(SUBSTITUTE(SUBSTITUTE(SUBSTITUTE(C95,".",""),"-","")," ",""),"/",""),{1,2,3,4,5,6,7,8,9},1),{10,9,8,7,6,5,4,3,2}),11)),VALUE(MID(SUBSTITUTE(SUBSTITUTE(SUBSTITUTE(SUBSTITUTE(C95,".",""),"-","")," ",""),"/",""),11,1))=IF(MOD(SUMPRODUCT(--MID(SUBSTITUTE(SUBSTITUTE(SUBSTITUTE(SUBSTITUTE(C95,".",""),"-","")," ",""),"/",""),{1,2,3,4,5,6,7,8,9,10},1),{11,10,9,8,7,6,5,4,3,2}),11)&lt;2,0,11-MOD(SUMPRODUCT(--MID(SUBSTITUTE(SUBSTITUTE(SUBSTITUTE(SUBSTITUTE(C95,".",""),"-","")," ",""),"/",""),{1,2,3,4,5,6,7,8,9,10},1),{11,10,9,8,7,6,5,4,3,2}),11))),FALSE()),AND(LEN(SUBSTITUTE(SUBSTITUTE(SUBSTITUTE(SUBSTITUTE(C95,".",""),"-","")," ",""),"/",""))=14,ISNUMBER(VALUE(SUBSTITUTE(SUBSTITUTE(SUBSTITUTE(SUBSTITUTE(C95,".",""),"-","")," ",""),"/",""))))),FALSE())),G95&gt;F95),"Revisar",IF(I95&lt;&gt;"Sim","Falta informe","OK")))</f>
        <v/>
      </c>
    </row>
    <row r="96" customFormat="false" ht="15" hidden="false" customHeight="false" outlineLevel="0" collapsed="false">
      <c r="A96" s="19"/>
      <c r="B96" s="18"/>
      <c r="C96" s="18"/>
      <c r="D96" s="18"/>
      <c r="E96" s="21" t="str">
        <f aca="false">IF(D96="","",IFERROR(VLOOKUP(D96,Listas!$A$5:$B$16,2,FALSE()),""))</f>
        <v/>
      </c>
      <c r="F96" s="22"/>
      <c r="G96" s="22"/>
      <c r="H96" s="22"/>
      <c r="I96" s="23"/>
      <c r="J96" s="18"/>
      <c r="K96" s="20" t="str">
        <f aca="false">IF(AND(A96="",B96="",D96="",F96=""),"",IF(OR(A96="",B96="",D96="",F96="",NOT(IFERROR(OR(IFERROR(AND(LEN(SUBSTITUTE(SUBSTITUTE(SUBSTITUTE(SUBSTITUTE(C96,".",""),"-","")," ",""),"/",""))=11,SUBSTITUTE(SUBSTITUTE(SUBSTITUTE(SUBSTITUTE(C96,".",""),"-","")," ",""),"/","")&lt;&gt;REPT(LEFT(SUBSTITUTE(SUBSTITUTE(SUBSTITUTE(SUBSTITUTE(C96,".",""),"-","")," ",""),"/",""),1),11),VALUE(MID(SUBSTITUTE(SUBSTITUTE(SUBSTITUTE(SUBSTITUTE(C96,".",""),"-","")," ",""),"/",""),10,1))=IF(MOD(SUMPRODUCT(--MID(SUBSTITUTE(SUBSTITUTE(SUBSTITUTE(SUBSTITUTE(C96,".",""),"-","")," ",""),"/",""),{1,2,3,4,5,6,7,8,9},1),{10,9,8,7,6,5,4,3,2}),11)&lt;2,0,11-MOD(SUMPRODUCT(--MID(SUBSTITUTE(SUBSTITUTE(SUBSTITUTE(SUBSTITUTE(C96,".",""),"-","")," ",""),"/",""),{1,2,3,4,5,6,7,8,9},1),{10,9,8,7,6,5,4,3,2}),11)),VALUE(MID(SUBSTITUTE(SUBSTITUTE(SUBSTITUTE(SUBSTITUTE(C96,".",""),"-","")," ",""),"/",""),11,1))=IF(MOD(SUMPRODUCT(--MID(SUBSTITUTE(SUBSTITUTE(SUBSTITUTE(SUBSTITUTE(C96,".",""),"-","")," ",""),"/",""),{1,2,3,4,5,6,7,8,9,10},1),{11,10,9,8,7,6,5,4,3,2}),11)&lt;2,0,11-MOD(SUMPRODUCT(--MID(SUBSTITUTE(SUBSTITUTE(SUBSTITUTE(SUBSTITUTE(C96,".",""),"-","")," ",""),"/",""),{1,2,3,4,5,6,7,8,9,10},1),{11,10,9,8,7,6,5,4,3,2}),11))),FALSE()),AND(LEN(SUBSTITUTE(SUBSTITUTE(SUBSTITUTE(SUBSTITUTE(C96,".",""),"-","")," ",""),"/",""))=14,ISNUMBER(VALUE(SUBSTITUTE(SUBSTITUTE(SUBSTITUTE(SUBSTITUTE(C96,".",""),"-","")," ",""),"/",""))))),FALSE())),G96&gt;F96),"Revisar",IF(I96&lt;&gt;"Sim","Falta informe","OK")))</f>
        <v/>
      </c>
    </row>
    <row r="97" customFormat="false" ht="15" hidden="false" customHeight="false" outlineLevel="0" collapsed="false">
      <c r="A97" s="19"/>
      <c r="B97" s="18"/>
      <c r="C97" s="18"/>
      <c r="D97" s="18"/>
      <c r="E97" s="21" t="str">
        <f aca="false">IF(D97="","",IFERROR(VLOOKUP(D97,Listas!$A$5:$B$16,2,FALSE()),""))</f>
        <v/>
      </c>
      <c r="F97" s="22"/>
      <c r="G97" s="22"/>
      <c r="H97" s="22"/>
      <c r="I97" s="23"/>
      <c r="J97" s="18"/>
      <c r="K97" s="20" t="str">
        <f aca="false">IF(AND(A97="",B97="",D97="",F97=""),"",IF(OR(A97="",B97="",D97="",F97="",NOT(IFERROR(OR(IFERROR(AND(LEN(SUBSTITUTE(SUBSTITUTE(SUBSTITUTE(SUBSTITUTE(C97,".",""),"-","")," ",""),"/",""))=11,SUBSTITUTE(SUBSTITUTE(SUBSTITUTE(SUBSTITUTE(C97,".",""),"-","")," ",""),"/","")&lt;&gt;REPT(LEFT(SUBSTITUTE(SUBSTITUTE(SUBSTITUTE(SUBSTITUTE(C97,".",""),"-","")," ",""),"/",""),1),11),VALUE(MID(SUBSTITUTE(SUBSTITUTE(SUBSTITUTE(SUBSTITUTE(C97,".",""),"-","")," ",""),"/",""),10,1))=IF(MOD(SUMPRODUCT(--MID(SUBSTITUTE(SUBSTITUTE(SUBSTITUTE(SUBSTITUTE(C97,".",""),"-","")," ",""),"/",""),{1,2,3,4,5,6,7,8,9},1),{10,9,8,7,6,5,4,3,2}),11)&lt;2,0,11-MOD(SUMPRODUCT(--MID(SUBSTITUTE(SUBSTITUTE(SUBSTITUTE(SUBSTITUTE(C97,".",""),"-","")," ",""),"/",""),{1,2,3,4,5,6,7,8,9},1),{10,9,8,7,6,5,4,3,2}),11)),VALUE(MID(SUBSTITUTE(SUBSTITUTE(SUBSTITUTE(SUBSTITUTE(C97,".",""),"-","")," ",""),"/",""),11,1))=IF(MOD(SUMPRODUCT(--MID(SUBSTITUTE(SUBSTITUTE(SUBSTITUTE(SUBSTITUTE(C97,".",""),"-","")," ",""),"/",""),{1,2,3,4,5,6,7,8,9,10},1),{11,10,9,8,7,6,5,4,3,2}),11)&lt;2,0,11-MOD(SUMPRODUCT(--MID(SUBSTITUTE(SUBSTITUTE(SUBSTITUTE(SUBSTITUTE(C97,".",""),"-","")," ",""),"/",""),{1,2,3,4,5,6,7,8,9,10},1),{11,10,9,8,7,6,5,4,3,2}),11))),FALSE()),AND(LEN(SUBSTITUTE(SUBSTITUTE(SUBSTITUTE(SUBSTITUTE(C97,".",""),"-","")," ",""),"/",""))=14,ISNUMBER(VALUE(SUBSTITUTE(SUBSTITUTE(SUBSTITUTE(SUBSTITUTE(C97,".",""),"-","")," ",""),"/",""))))),FALSE())),G97&gt;F97),"Revisar",IF(I97&lt;&gt;"Sim","Falta informe","OK")))</f>
        <v/>
      </c>
    </row>
    <row r="98" customFormat="false" ht="15" hidden="false" customHeight="false" outlineLevel="0" collapsed="false">
      <c r="A98" s="19"/>
      <c r="B98" s="18"/>
      <c r="C98" s="18"/>
      <c r="D98" s="18"/>
      <c r="E98" s="21" t="str">
        <f aca="false">IF(D98="","",IFERROR(VLOOKUP(D98,Listas!$A$5:$B$16,2,FALSE()),""))</f>
        <v/>
      </c>
      <c r="F98" s="22"/>
      <c r="G98" s="22"/>
      <c r="H98" s="22"/>
      <c r="I98" s="23"/>
      <c r="J98" s="18"/>
      <c r="K98" s="20" t="str">
        <f aca="false">IF(AND(A98="",B98="",D98="",F98=""),"",IF(OR(A98="",B98="",D98="",F98="",NOT(IFERROR(OR(IFERROR(AND(LEN(SUBSTITUTE(SUBSTITUTE(SUBSTITUTE(SUBSTITUTE(C98,".",""),"-","")," ",""),"/",""))=11,SUBSTITUTE(SUBSTITUTE(SUBSTITUTE(SUBSTITUTE(C98,".",""),"-","")," ",""),"/","")&lt;&gt;REPT(LEFT(SUBSTITUTE(SUBSTITUTE(SUBSTITUTE(SUBSTITUTE(C98,".",""),"-","")," ",""),"/",""),1),11),VALUE(MID(SUBSTITUTE(SUBSTITUTE(SUBSTITUTE(SUBSTITUTE(C98,".",""),"-","")," ",""),"/",""),10,1))=IF(MOD(SUMPRODUCT(--MID(SUBSTITUTE(SUBSTITUTE(SUBSTITUTE(SUBSTITUTE(C98,".",""),"-","")," ",""),"/",""),{1,2,3,4,5,6,7,8,9},1),{10,9,8,7,6,5,4,3,2}),11)&lt;2,0,11-MOD(SUMPRODUCT(--MID(SUBSTITUTE(SUBSTITUTE(SUBSTITUTE(SUBSTITUTE(C98,".",""),"-","")," ",""),"/",""),{1,2,3,4,5,6,7,8,9},1),{10,9,8,7,6,5,4,3,2}),11)),VALUE(MID(SUBSTITUTE(SUBSTITUTE(SUBSTITUTE(SUBSTITUTE(C98,".",""),"-","")," ",""),"/",""),11,1))=IF(MOD(SUMPRODUCT(--MID(SUBSTITUTE(SUBSTITUTE(SUBSTITUTE(SUBSTITUTE(C98,".",""),"-","")," ",""),"/",""),{1,2,3,4,5,6,7,8,9,10},1),{11,10,9,8,7,6,5,4,3,2}),11)&lt;2,0,11-MOD(SUMPRODUCT(--MID(SUBSTITUTE(SUBSTITUTE(SUBSTITUTE(SUBSTITUTE(C98,".",""),"-","")," ",""),"/",""),{1,2,3,4,5,6,7,8,9,10},1),{11,10,9,8,7,6,5,4,3,2}),11))),FALSE()),AND(LEN(SUBSTITUTE(SUBSTITUTE(SUBSTITUTE(SUBSTITUTE(C98,".",""),"-","")," ",""),"/",""))=14,ISNUMBER(VALUE(SUBSTITUTE(SUBSTITUTE(SUBSTITUTE(SUBSTITUTE(C98,".",""),"-","")," ",""),"/",""))))),FALSE())),G98&gt;F98),"Revisar",IF(I98&lt;&gt;"Sim","Falta informe","OK")))</f>
        <v/>
      </c>
    </row>
    <row r="99" customFormat="false" ht="15" hidden="false" customHeight="false" outlineLevel="0" collapsed="false">
      <c r="A99" s="19"/>
      <c r="B99" s="18"/>
      <c r="C99" s="18"/>
      <c r="D99" s="18"/>
      <c r="E99" s="21" t="str">
        <f aca="false">IF(D99="","",IFERROR(VLOOKUP(D99,Listas!$A$5:$B$16,2,FALSE()),""))</f>
        <v/>
      </c>
      <c r="F99" s="22"/>
      <c r="G99" s="22"/>
      <c r="H99" s="22"/>
      <c r="I99" s="23"/>
      <c r="J99" s="18"/>
      <c r="K99" s="20" t="str">
        <f aca="false">IF(AND(A99="",B99="",D99="",F99=""),"",IF(OR(A99="",B99="",D99="",F99="",NOT(IFERROR(OR(IFERROR(AND(LEN(SUBSTITUTE(SUBSTITUTE(SUBSTITUTE(SUBSTITUTE(C99,".",""),"-","")," ",""),"/",""))=11,SUBSTITUTE(SUBSTITUTE(SUBSTITUTE(SUBSTITUTE(C99,".",""),"-","")," ",""),"/","")&lt;&gt;REPT(LEFT(SUBSTITUTE(SUBSTITUTE(SUBSTITUTE(SUBSTITUTE(C99,".",""),"-","")," ",""),"/",""),1),11),VALUE(MID(SUBSTITUTE(SUBSTITUTE(SUBSTITUTE(SUBSTITUTE(C99,".",""),"-","")," ",""),"/",""),10,1))=IF(MOD(SUMPRODUCT(--MID(SUBSTITUTE(SUBSTITUTE(SUBSTITUTE(SUBSTITUTE(C99,".",""),"-","")," ",""),"/",""),{1,2,3,4,5,6,7,8,9},1),{10,9,8,7,6,5,4,3,2}),11)&lt;2,0,11-MOD(SUMPRODUCT(--MID(SUBSTITUTE(SUBSTITUTE(SUBSTITUTE(SUBSTITUTE(C99,".",""),"-","")," ",""),"/",""),{1,2,3,4,5,6,7,8,9},1),{10,9,8,7,6,5,4,3,2}),11)),VALUE(MID(SUBSTITUTE(SUBSTITUTE(SUBSTITUTE(SUBSTITUTE(C99,".",""),"-","")," ",""),"/",""),11,1))=IF(MOD(SUMPRODUCT(--MID(SUBSTITUTE(SUBSTITUTE(SUBSTITUTE(SUBSTITUTE(C99,".",""),"-","")," ",""),"/",""),{1,2,3,4,5,6,7,8,9,10},1),{11,10,9,8,7,6,5,4,3,2}),11)&lt;2,0,11-MOD(SUMPRODUCT(--MID(SUBSTITUTE(SUBSTITUTE(SUBSTITUTE(SUBSTITUTE(C99,".",""),"-","")," ",""),"/",""),{1,2,3,4,5,6,7,8,9,10},1),{11,10,9,8,7,6,5,4,3,2}),11))),FALSE()),AND(LEN(SUBSTITUTE(SUBSTITUTE(SUBSTITUTE(SUBSTITUTE(C99,".",""),"-","")," ",""),"/",""))=14,ISNUMBER(VALUE(SUBSTITUTE(SUBSTITUTE(SUBSTITUTE(SUBSTITUTE(C99,".",""),"-","")," ",""),"/",""))))),FALSE())),G99&gt;F99),"Revisar",IF(I99&lt;&gt;"Sim","Falta informe","OK")))</f>
        <v/>
      </c>
    </row>
    <row r="100" customFormat="false" ht="15" hidden="false" customHeight="false" outlineLevel="0" collapsed="false">
      <c r="A100" s="19"/>
      <c r="B100" s="18"/>
      <c r="C100" s="18"/>
      <c r="D100" s="18"/>
      <c r="E100" s="21" t="str">
        <f aca="false">IF(D100="","",IFERROR(VLOOKUP(D100,Listas!$A$5:$B$16,2,FALSE()),""))</f>
        <v/>
      </c>
      <c r="F100" s="22"/>
      <c r="G100" s="22"/>
      <c r="H100" s="22"/>
      <c r="I100" s="23"/>
      <c r="J100" s="18"/>
      <c r="K100" s="20" t="str">
        <f aca="false">IF(AND(A100="",B100="",D100="",F100=""),"",IF(OR(A100="",B100="",D100="",F100="",NOT(IFERROR(OR(IFERROR(AND(LEN(SUBSTITUTE(SUBSTITUTE(SUBSTITUTE(SUBSTITUTE(C100,".",""),"-","")," ",""),"/",""))=11,SUBSTITUTE(SUBSTITUTE(SUBSTITUTE(SUBSTITUTE(C100,".",""),"-","")," ",""),"/","")&lt;&gt;REPT(LEFT(SUBSTITUTE(SUBSTITUTE(SUBSTITUTE(SUBSTITUTE(C100,".",""),"-","")," ",""),"/",""),1),11),VALUE(MID(SUBSTITUTE(SUBSTITUTE(SUBSTITUTE(SUBSTITUTE(C100,".",""),"-","")," ",""),"/",""),10,1))=IF(MOD(SUMPRODUCT(--MID(SUBSTITUTE(SUBSTITUTE(SUBSTITUTE(SUBSTITUTE(C100,".",""),"-","")," ",""),"/",""),{1,2,3,4,5,6,7,8,9},1),{10,9,8,7,6,5,4,3,2}),11)&lt;2,0,11-MOD(SUMPRODUCT(--MID(SUBSTITUTE(SUBSTITUTE(SUBSTITUTE(SUBSTITUTE(C100,".",""),"-","")," ",""),"/",""),{1,2,3,4,5,6,7,8,9},1),{10,9,8,7,6,5,4,3,2}),11)),VALUE(MID(SUBSTITUTE(SUBSTITUTE(SUBSTITUTE(SUBSTITUTE(C100,".",""),"-","")," ",""),"/",""),11,1))=IF(MOD(SUMPRODUCT(--MID(SUBSTITUTE(SUBSTITUTE(SUBSTITUTE(SUBSTITUTE(C100,".",""),"-","")," ",""),"/",""),{1,2,3,4,5,6,7,8,9,10},1),{11,10,9,8,7,6,5,4,3,2}),11)&lt;2,0,11-MOD(SUMPRODUCT(--MID(SUBSTITUTE(SUBSTITUTE(SUBSTITUTE(SUBSTITUTE(C100,".",""),"-","")," ",""),"/",""),{1,2,3,4,5,6,7,8,9,10},1),{11,10,9,8,7,6,5,4,3,2}),11))),FALSE()),AND(LEN(SUBSTITUTE(SUBSTITUTE(SUBSTITUTE(SUBSTITUTE(C100,".",""),"-","")," ",""),"/",""))=14,ISNUMBER(VALUE(SUBSTITUTE(SUBSTITUTE(SUBSTITUTE(SUBSTITUTE(C100,".",""),"-","")," ",""),"/",""))))),FALSE())),G100&gt;F100),"Revisar",IF(I100&lt;&gt;"Sim","Falta informe","OK")))</f>
        <v/>
      </c>
    </row>
    <row r="101" customFormat="false" ht="15" hidden="false" customHeight="false" outlineLevel="0" collapsed="false">
      <c r="A101" s="19"/>
      <c r="B101" s="18"/>
      <c r="C101" s="18"/>
      <c r="D101" s="18"/>
      <c r="E101" s="21" t="str">
        <f aca="false">IF(D101="","",IFERROR(VLOOKUP(D101,Listas!$A$5:$B$16,2,FALSE()),""))</f>
        <v/>
      </c>
      <c r="F101" s="22"/>
      <c r="G101" s="22"/>
      <c r="H101" s="22"/>
      <c r="I101" s="23"/>
      <c r="J101" s="18"/>
      <c r="K101" s="20" t="str">
        <f aca="false">IF(AND(A101="",B101="",D101="",F101=""),"",IF(OR(A101="",B101="",D101="",F101="",NOT(IFERROR(OR(IFERROR(AND(LEN(SUBSTITUTE(SUBSTITUTE(SUBSTITUTE(SUBSTITUTE(C101,".",""),"-","")," ",""),"/",""))=11,SUBSTITUTE(SUBSTITUTE(SUBSTITUTE(SUBSTITUTE(C101,".",""),"-","")," ",""),"/","")&lt;&gt;REPT(LEFT(SUBSTITUTE(SUBSTITUTE(SUBSTITUTE(SUBSTITUTE(C101,".",""),"-","")," ",""),"/",""),1),11),VALUE(MID(SUBSTITUTE(SUBSTITUTE(SUBSTITUTE(SUBSTITUTE(C101,".",""),"-","")," ",""),"/",""),10,1))=IF(MOD(SUMPRODUCT(--MID(SUBSTITUTE(SUBSTITUTE(SUBSTITUTE(SUBSTITUTE(C101,".",""),"-","")," ",""),"/",""),{1,2,3,4,5,6,7,8,9},1),{10,9,8,7,6,5,4,3,2}),11)&lt;2,0,11-MOD(SUMPRODUCT(--MID(SUBSTITUTE(SUBSTITUTE(SUBSTITUTE(SUBSTITUTE(C101,".",""),"-","")," ",""),"/",""),{1,2,3,4,5,6,7,8,9},1),{10,9,8,7,6,5,4,3,2}),11)),VALUE(MID(SUBSTITUTE(SUBSTITUTE(SUBSTITUTE(SUBSTITUTE(C101,".",""),"-","")," ",""),"/",""),11,1))=IF(MOD(SUMPRODUCT(--MID(SUBSTITUTE(SUBSTITUTE(SUBSTITUTE(SUBSTITUTE(C101,".",""),"-","")," ",""),"/",""),{1,2,3,4,5,6,7,8,9,10},1),{11,10,9,8,7,6,5,4,3,2}),11)&lt;2,0,11-MOD(SUMPRODUCT(--MID(SUBSTITUTE(SUBSTITUTE(SUBSTITUTE(SUBSTITUTE(C101,".",""),"-","")," ",""),"/",""),{1,2,3,4,5,6,7,8,9,10},1),{11,10,9,8,7,6,5,4,3,2}),11))),FALSE()),AND(LEN(SUBSTITUTE(SUBSTITUTE(SUBSTITUTE(SUBSTITUTE(C101,".",""),"-","")," ",""),"/",""))=14,ISNUMBER(VALUE(SUBSTITUTE(SUBSTITUTE(SUBSTITUTE(SUBSTITUTE(C101,".",""),"-","")," ",""),"/",""))))),FALSE())),G101&gt;F101),"Revisar",IF(I101&lt;&gt;"Sim","Falta informe","OK")))</f>
        <v/>
      </c>
    </row>
    <row r="102" customFormat="false" ht="15" hidden="false" customHeight="false" outlineLevel="0" collapsed="false">
      <c r="A102" s="19"/>
      <c r="B102" s="18"/>
      <c r="C102" s="18"/>
      <c r="D102" s="18"/>
      <c r="E102" s="21" t="str">
        <f aca="false">IF(D102="","",IFERROR(VLOOKUP(D102,Listas!$A$5:$B$16,2,FALSE()),""))</f>
        <v/>
      </c>
      <c r="F102" s="22"/>
      <c r="G102" s="22"/>
      <c r="H102" s="22"/>
      <c r="I102" s="23"/>
      <c r="J102" s="18"/>
      <c r="K102" s="20" t="str">
        <f aca="false">IF(AND(A102="",B102="",D102="",F102=""),"",IF(OR(A102="",B102="",D102="",F102="",NOT(IFERROR(OR(IFERROR(AND(LEN(SUBSTITUTE(SUBSTITUTE(SUBSTITUTE(SUBSTITUTE(C102,".",""),"-","")," ",""),"/",""))=11,SUBSTITUTE(SUBSTITUTE(SUBSTITUTE(SUBSTITUTE(C102,".",""),"-","")," ",""),"/","")&lt;&gt;REPT(LEFT(SUBSTITUTE(SUBSTITUTE(SUBSTITUTE(SUBSTITUTE(C102,".",""),"-","")," ",""),"/",""),1),11),VALUE(MID(SUBSTITUTE(SUBSTITUTE(SUBSTITUTE(SUBSTITUTE(C102,".",""),"-","")," ",""),"/",""),10,1))=IF(MOD(SUMPRODUCT(--MID(SUBSTITUTE(SUBSTITUTE(SUBSTITUTE(SUBSTITUTE(C102,".",""),"-","")," ",""),"/",""),{1,2,3,4,5,6,7,8,9},1),{10,9,8,7,6,5,4,3,2}),11)&lt;2,0,11-MOD(SUMPRODUCT(--MID(SUBSTITUTE(SUBSTITUTE(SUBSTITUTE(SUBSTITUTE(C102,".",""),"-","")," ",""),"/",""),{1,2,3,4,5,6,7,8,9},1),{10,9,8,7,6,5,4,3,2}),11)),VALUE(MID(SUBSTITUTE(SUBSTITUTE(SUBSTITUTE(SUBSTITUTE(C102,".",""),"-","")," ",""),"/",""),11,1))=IF(MOD(SUMPRODUCT(--MID(SUBSTITUTE(SUBSTITUTE(SUBSTITUTE(SUBSTITUTE(C102,".",""),"-","")," ",""),"/",""),{1,2,3,4,5,6,7,8,9,10},1),{11,10,9,8,7,6,5,4,3,2}),11)&lt;2,0,11-MOD(SUMPRODUCT(--MID(SUBSTITUTE(SUBSTITUTE(SUBSTITUTE(SUBSTITUTE(C102,".",""),"-","")," ",""),"/",""),{1,2,3,4,5,6,7,8,9,10},1),{11,10,9,8,7,6,5,4,3,2}),11))),FALSE()),AND(LEN(SUBSTITUTE(SUBSTITUTE(SUBSTITUTE(SUBSTITUTE(C102,".",""),"-","")," ",""),"/",""))=14,ISNUMBER(VALUE(SUBSTITUTE(SUBSTITUTE(SUBSTITUTE(SUBSTITUTE(C102,".",""),"-","")," ",""),"/",""))))),FALSE())),G102&gt;F102),"Revisar",IF(I102&lt;&gt;"Sim","Falta informe","OK")))</f>
        <v/>
      </c>
    </row>
    <row r="103" customFormat="false" ht="15" hidden="false" customHeight="false" outlineLevel="0" collapsed="false">
      <c r="A103" s="19"/>
      <c r="B103" s="18"/>
      <c r="C103" s="18"/>
      <c r="D103" s="18"/>
      <c r="E103" s="21" t="str">
        <f aca="false">IF(D103="","",IFERROR(VLOOKUP(D103,Listas!$A$5:$B$16,2,FALSE()),""))</f>
        <v/>
      </c>
      <c r="F103" s="22"/>
      <c r="G103" s="22"/>
      <c r="H103" s="22"/>
      <c r="I103" s="23"/>
      <c r="J103" s="18"/>
      <c r="K103" s="20" t="str">
        <f aca="false">IF(AND(A103="",B103="",D103="",F103=""),"",IF(OR(A103="",B103="",D103="",F103="",NOT(IFERROR(OR(IFERROR(AND(LEN(SUBSTITUTE(SUBSTITUTE(SUBSTITUTE(SUBSTITUTE(C103,".",""),"-","")," ",""),"/",""))=11,SUBSTITUTE(SUBSTITUTE(SUBSTITUTE(SUBSTITUTE(C103,".",""),"-","")," ",""),"/","")&lt;&gt;REPT(LEFT(SUBSTITUTE(SUBSTITUTE(SUBSTITUTE(SUBSTITUTE(C103,".",""),"-","")," ",""),"/",""),1),11),VALUE(MID(SUBSTITUTE(SUBSTITUTE(SUBSTITUTE(SUBSTITUTE(C103,".",""),"-","")," ",""),"/",""),10,1))=IF(MOD(SUMPRODUCT(--MID(SUBSTITUTE(SUBSTITUTE(SUBSTITUTE(SUBSTITUTE(C103,".",""),"-","")," ",""),"/",""),{1,2,3,4,5,6,7,8,9},1),{10,9,8,7,6,5,4,3,2}),11)&lt;2,0,11-MOD(SUMPRODUCT(--MID(SUBSTITUTE(SUBSTITUTE(SUBSTITUTE(SUBSTITUTE(C103,".",""),"-","")," ",""),"/",""),{1,2,3,4,5,6,7,8,9},1),{10,9,8,7,6,5,4,3,2}),11)),VALUE(MID(SUBSTITUTE(SUBSTITUTE(SUBSTITUTE(SUBSTITUTE(C103,".",""),"-","")," ",""),"/",""),11,1))=IF(MOD(SUMPRODUCT(--MID(SUBSTITUTE(SUBSTITUTE(SUBSTITUTE(SUBSTITUTE(C103,".",""),"-","")," ",""),"/",""),{1,2,3,4,5,6,7,8,9,10},1),{11,10,9,8,7,6,5,4,3,2}),11)&lt;2,0,11-MOD(SUMPRODUCT(--MID(SUBSTITUTE(SUBSTITUTE(SUBSTITUTE(SUBSTITUTE(C103,".",""),"-","")," ",""),"/",""),{1,2,3,4,5,6,7,8,9,10},1),{11,10,9,8,7,6,5,4,3,2}),11))),FALSE()),AND(LEN(SUBSTITUTE(SUBSTITUTE(SUBSTITUTE(SUBSTITUTE(C103,".",""),"-","")," ",""),"/",""))=14,ISNUMBER(VALUE(SUBSTITUTE(SUBSTITUTE(SUBSTITUTE(SUBSTITUTE(C103,".",""),"-","")," ",""),"/",""))))),FALSE())),G103&gt;F103),"Revisar",IF(I103&lt;&gt;"Sim","Falta informe","OK")))</f>
        <v/>
      </c>
    </row>
    <row r="104" customFormat="false" ht="15" hidden="false" customHeight="false" outlineLevel="0" collapsed="false">
      <c r="A104" s="19"/>
      <c r="B104" s="18"/>
      <c r="C104" s="18"/>
      <c r="D104" s="18"/>
      <c r="E104" s="21" t="str">
        <f aca="false">IF(D104="","",IFERROR(VLOOKUP(D104,Listas!$A$5:$B$16,2,FALSE()),""))</f>
        <v/>
      </c>
      <c r="F104" s="22"/>
      <c r="G104" s="22"/>
      <c r="H104" s="22"/>
      <c r="I104" s="23"/>
      <c r="J104" s="18"/>
      <c r="K104" s="20" t="str">
        <f aca="false">IF(AND(A104="",B104="",D104="",F104=""),"",IF(OR(A104="",B104="",D104="",F104="",NOT(IFERROR(OR(IFERROR(AND(LEN(SUBSTITUTE(SUBSTITUTE(SUBSTITUTE(SUBSTITUTE(C104,".",""),"-","")," ",""),"/",""))=11,SUBSTITUTE(SUBSTITUTE(SUBSTITUTE(SUBSTITUTE(C104,".",""),"-","")," ",""),"/","")&lt;&gt;REPT(LEFT(SUBSTITUTE(SUBSTITUTE(SUBSTITUTE(SUBSTITUTE(C104,".",""),"-","")," ",""),"/",""),1),11),VALUE(MID(SUBSTITUTE(SUBSTITUTE(SUBSTITUTE(SUBSTITUTE(C104,".",""),"-","")," ",""),"/",""),10,1))=IF(MOD(SUMPRODUCT(--MID(SUBSTITUTE(SUBSTITUTE(SUBSTITUTE(SUBSTITUTE(C104,".",""),"-","")," ",""),"/",""),{1,2,3,4,5,6,7,8,9},1),{10,9,8,7,6,5,4,3,2}),11)&lt;2,0,11-MOD(SUMPRODUCT(--MID(SUBSTITUTE(SUBSTITUTE(SUBSTITUTE(SUBSTITUTE(C104,".",""),"-","")," ",""),"/",""),{1,2,3,4,5,6,7,8,9},1),{10,9,8,7,6,5,4,3,2}),11)),VALUE(MID(SUBSTITUTE(SUBSTITUTE(SUBSTITUTE(SUBSTITUTE(C104,".",""),"-","")," ",""),"/",""),11,1))=IF(MOD(SUMPRODUCT(--MID(SUBSTITUTE(SUBSTITUTE(SUBSTITUTE(SUBSTITUTE(C104,".",""),"-","")," ",""),"/",""),{1,2,3,4,5,6,7,8,9,10},1),{11,10,9,8,7,6,5,4,3,2}),11)&lt;2,0,11-MOD(SUMPRODUCT(--MID(SUBSTITUTE(SUBSTITUTE(SUBSTITUTE(SUBSTITUTE(C104,".",""),"-","")," ",""),"/",""),{1,2,3,4,5,6,7,8,9,10},1),{11,10,9,8,7,6,5,4,3,2}),11))),FALSE()),AND(LEN(SUBSTITUTE(SUBSTITUTE(SUBSTITUTE(SUBSTITUTE(C104,".",""),"-","")," ",""),"/",""))=14,ISNUMBER(VALUE(SUBSTITUTE(SUBSTITUTE(SUBSTITUTE(SUBSTITUTE(C104,".",""),"-","")," ",""),"/",""))))),FALSE())),G104&gt;F104),"Revisar",IF(I104&lt;&gt;"Sim","Falta informe","OK")))</f>
        <v/>
      </c>
    </row>
    <row r="105" customFormat="false" ht="15" hidden="false" customHeight="false" outlineLevel="0" collapsed="false">
      <c r="A105" s="19"/>
      <c r="B105" s="18"/>
      <c r="C105" s="18"/>
      <c r="D105" s="18"/>
      <c r="E105" s="21" t="str">
        <f aca="false">IF(D105="","",IFERROR(VLOOKUP(D105,Listas!$A$5:$B$16,2,FALSE()),""))</f>
        <v/>
      </c>
      <c r="F105" s="22"/>
      <c r="G105" s="22"/>
      <c r="H105" s="22"/>
      <c r="I105" s="23"/>
      <c r="J105" s="18"/>
      <c r="K105" s="20" t="str">
        <f aca="false">IF(AND(A105="",B105="",D105="",F105=""),"",IF(OR(A105="",B105="",D105="",F105="",NOT(IFERROR(OR(IFERROR(AND(LEN(SUBSTITUTE(SUBSTITUTE(SUBSTITUTE(SUBSTITUTE(C105,".",""),"-","")," ",""),"/",""))=11,SUBSTITUTE(SUBSTITUTE(SUBSTITUTE(SUBSTITUTE(C105,".",""),"-","")," ",""),"/","")&lt;&gt;REPT(LEFT(SUBSTITUTE(SUBSTITUTE(SUBSTITUTE(SUBSTITUTE(C105,".",""),"-","")," ",""),"/",""),1),11),VALUE(MID(SUBSTITUTE(SUBSTITUTE(SUBSTITUTE(SUBSTITUTE(C105,".",""),"-","")," ",""),"/",""),10,1))=IF(MOD(SUMPRODUCT(--MID(SUBSTITUTE(SUBSTITUTE(SUBSTITUTE(SUBSTITUTE(C105,".",""),"-","")," ",""),"/",""),{1,2,3,4,5,6,7,8,9},1),{10,9,8,7,6,5,4,3,2}),11)&lt;2,0,11-MOD(SUMPRODUCT(--MID(SUBSTITUTE(SUBSTITUTE(SUBSTITUTE(SUBSTITUTE(C105,".",""),"-","")," ",""),"/",""),{1,2,3,4,5,6,7,8,9},1),{10,9,8,7,6,5,4,3,2}),11)),VALUE(MID(SUBSTITUTE(SUBSTITUTE(SUBSTITUTE(SUBSTITUTE(C105,".",""),"-","")," ",""),"/",""),11,1))=IF(MOD(SUMPRODUCT(--MID(SUBSTITUTE(SUBSTITUTE(SUBSTITUTE(SUBSTITUTE(C105,".",""),"-","")," ",""),"/",""),{1,2,3,4,5,6,7,8,9,10},1),{11,10,9,8,7,6,5,4,3,2}),11)&lt;2,0,11-MOD(SUMPRODUCT(--MID(SUBSTITUTE(SUBSTITUTE(SUBSTITUTE(SUBSTITUTE(C105,".",""),"-","")," ",""),"/",""),{1,2,3,4,5,6,7,8,9,10},1),{11,10,9,8,7,6,5,4,3,2}),11))),FALSE()),AND(LEN(SUBSTITUTE(SUBSTITUTE(SUBSTITUTE(SUBSTITUTE(C105,".",""),"-","")," ",""),"/",""))=14,ISNUMBER(VALUE(SUBSTITUTE(SUBSTITUTE(SUBSTITUTE(SUBSTITUTE(C105,".",""),"-","")," ",""),"/",""))))),FALSE())),G105&gt;F105),"Revisar",IF(I105&lt;&gt;"Sim","Falta informe","OK")))</f>
        <v/>
      </c>
    </row>
  </sheetData>
  <conditionalFormatting sqref="K6:K10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dataValidations count="4">
    <dataValidation allowBlank="true" error="Escolha um item da lista." errorStyle="stop" errorTitle="Valor inválido" operator="between" showDropDown="false" showErrorMessage="true" showInputMessage="false" sqref="D6:D105" type="list">
      <formula1>Listas!$A$5:$A$16</formula1>
      <formula2>0</formula2>
    </dataValidation>
    <dataValidation allowBlank="true" error="Escolha um item da lista." errorStyle="stop" errorTitle="Valor inválido" operator="between" showDropDown="false" showErrorMessage="true" showInputMessage="false" sqref="I6:I105" type="list">
      <formula1>Listas!$I$5:$I$6</formula1>
      <formula2>0</formula2>
    </dataValidation>
    <dataValidation allowBlank="true" error="Informe um valor numérico maior ou igual a zero." errorStyle="stop" errorTitle="Valor inválido" operator="greaterThanOrEqual" showDropDown="false" showErrorMessage="true" showInputMessage="false" sqref="F6:H105" type="decimal">
      <formula1>0</formula1>
      <formula2>0</formula2>
    </dataValidation>
    <dataValidation allowBlank="true" error="A data precisa estar dentro do ano-calendário definido em Parâmetros." errorStyle="stop" errorTitle="Data fora do ano-calendário" operator="between" showDropDown="false" showErrorMessage="true" showInputMessage="false" sqref="A6:A105" type="date">
      <formula1>DATE(Parâmetros!$B$4,1,1)</formula1>
      <formula2>DATE(Parâmetros!$B$4,12,31)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12</v>
      </c>
    </row>
    <row r="3" customFormat="false" ht="15" hidden="false" customHeight="false" outlineLevel="0" collapsed="false">
      <c r="A3" s="12" t="s">
        <v>76</v>
      </c>
    </row>
    <row r="5" customFormat="false" ht="33.75" hidden="false" customHeight="true" outlineLevel="0" collapsed="false">
      <c r="A5" s="4" t="s">
        <v>77</v>
      </c>
      <c r="B5" s="4" t="s">
        <v>78</v>
      </c>
      <c r="C5" s="4" t="s">
        <v>79</v>
      </c>
      <c r="D5" s="4" t="s">
        <v>80</v>
      </c>
      <c r="E5" s="4" t="s">
        <v>81</v>
      </c>
      <c r="F5" s="4" t="s">
        <v>82</v>
      </c>
      <c r="G5" s="4" t="s">
        <v>83</v>
      </c>
      <c r="H5" s="4" t="s">
        <v>65</v>
      </c>
      <c r="I5" s="4" t="s">
        <v>51</v>
      </c>
    </row>
    <row r="6" customFormat="false" ht="15" hidden="false" customHeight="false" outlineLevel="0" collapsed="false">
      <c r="A6" s="19" t="n">
        <v>46091</v>
      </c>
      <c r="B6" s="18" t="s">
        <v>84</v>
      </c>
      <c r="C6" s="18" t="s">
        <v>38</v>
      </c>
      <c r="D6" s="18" t="s">
        <v>85</v>
      </c>
      <c r="E6" s="18" t="s">
        <v>86</v>
      </c>
      <c r="F6" s="22" t="n">
        <v>2400</v>
      </c>
      <c r="G6" s="23" t="s">
        <v>69</v>
      </c>
      <c r="H6" s="18"/>
      <c r="I6" s="20" t="str">
        <f aca="false">IF(AND(B6="",F6=""),"",IF(OR(A6="",B6="",C6="",F6="",NOT(IFERROR(OR(IFERROR(AND(LEN(SUBSTITUTE(SUBSTITUTE(SUBSTITUTE(SUBSTITUTE(E6,".",""),"-","")," ",""),"/",""))=11,SUBSTITUTE(SUBSTITUTE(SUBSTITUTE(SUBSTITUTE(E6,".",""),"-","")," ",""),"/","")&lt;&gt;REPT(LEFT(SUBSTITUTE(SUBSTITUTE(SUBSTITUTE(SUBSTITUTE(E6,".",""),"-","")," ",""),"/",""),1),11),VALUE(MID(SUBSTITUTE(SUBSTITUTE(SUBSTITUTE(SUBSTITUTE(E6,".",""),"-","")," ",""),"/",""),10,1))=IF(MOD(SUMPRODUCT(--MID(SUBSTITUTE(SUBSTITUTE(SUBSTITUTE(SUBSTITUTE(E6,".",""),"-","")," ",""),"/",""),{1,2,3,4,5,6,7,8,9},1),{10,9,8,7,6,5,4,3,2}),11)&lt;2,0,11-MOD(SUMPRODUCT(--MID(SUBSTITUTE(SUBSTITUTE(SUBSTITUTE(SUBSTITUTE(E6,".",""),"-","")," ",""),"/",""),{1,2,3,4,5,6,7,8,9},1),{10,9,8,7,6,5,4,3,2}),11)),VALUE(MID(SUBSTITUTE(SUBSTITUTE(SUBSTITUTE(SUBSTITUTE(E6,".",""),"-","")," ",""),"/",""),11,1))=IF(MOD(SUMPRODUCT(--MID(SUBSTITUTE(SUBSTITUTE(SUBSTITUTE(SUBSTITUTE(E6,".",""),"-","")," ",""),"/",""),{1,2,3,4,5,6,7,8,9,10},1),{11,10,9,8,7,6,5,4,3,2}),11)&lt;2,0,11-MOD(SUMPRODUCT(--MID(SUBSTITUTE(SUBSTITUTE(SUBSTITUTE(SUBSTITUTE(E6,".",""),"-","")," ",""),"/",""),{1,2,3,4,5,6,7,8,9,10},1),{11,10,9,8,7,6,5,4,3,2}),11))),FALSE()),AND(LEN(SUBSTITUTE(SUBSTITUTE(SUBSTITUTE(SUBSTITUTE(E6,".",""),"-","")," ",""),"/",""))=14,ISNUMBER(VALUE(SUBSTITUTE(SUBSTITUTE(SUBSTITUTE(SUBSTITUTE(E6,".",""),"-","")," ",""),"/",""))))),FALSE()))),"Revisar",IF(G6&lt;&gt;"Sim","Falta comprovante",IF(AND(B6="Educação",SUMIFS($F$6:$F$155,$B$6:$B$155,"Educação",$C$6:$C$155,C6)&gt;Parâmetros!$B$6),"Acima do limite","OK"))))</f>
        <v>OK</v>
      </c>
    </row>
    <row r="7" customFormat="false" ht="15" hidden="false" customHeight="false" outlineLevel="0" collapsed="false">
      <c r="A7" s="19" t="n">
        <v>46178</v>
      </c>
      <c r="B7" s="18" t="s">
        <v>84</v>
      </c>
      <c r="C7" s="18" t="s">
        <v>52</v>
      </c>
      <c r="D7" s="18" t="s">
        <v>87</v>
      </c>
      <c r="E7" s="18" t="s">
        <v>53</v>
      </c>
      <c r="F7" s="22" t="n">
        <v>800</v>
      </c>
      <c r="G7" s="23" t="s">
        <v>69</v>
      </c>
      <c r="H7" s="18"/>
      <c r="I7" s="20" t="str">
        <f aca="false">IF(AND(B7="",F7=""),"",IF(OR(A7="",B7="",C7="",F7="",NOT(IFERROR(OR(IFERROR(AND(LEN(SUBSTITUTE(SUBSTITUTE(SUBSTITUTE(SUBSTITUTE(E7,".",""),"-","")," ",""),"/",""))=11,SUBSTITUTE(SUBSTITUTE(SUBSTITUTE(SUBSTITUTE(E7,".",""),"-","")," ",""),"/","")&lt;&gt;REPT(LEFT(SUBSTITUTE(SUBSTITUTE(SUBSTITUTE(SUBSTITUTE(E7,".",""),"-","")," ",""),"/",""),1),11),VALUE(MID(SUBSTITUTE(SUBSTITUTE(SUBSTITUTE(SUBSTITUTE(E7,".",""),"-","")," ",""),"/",""),10,1))=IF(MOD(SUMPRODUCT(--MID(SUBSTITUTE(SUBSTITUTE(SUBSTITUTE(SUBSTITUTE(E7,".",""),"-","")," ",""),"/",""),{1,2,3,4,5,6,7,8,9},1),{10,9,8,7,6,5,4,3,2}),11)&lt;2,0,11-MOD(SUMPRODUCT(--MID(SUBSTITUTE(SUBSTITUTE(SUBSTITUTE(SUBSTITUTE(E7,".",""),"-","")," ",""),"/",""),{1,2,3,4,5,6,7,8,9},1),{10,9,8,7,6,5,4,3,2}),11)),VALUE(MID(SUBSTITUTE(SUBSTITUTE(SUBSTITUTE(SUBSTITUTE(E7,".",""),"-","")," ",""),"/",""),11,1))=IF(MOD(SUMPRODUCT(--MID(SUBSTITUTE(SUBSTITUTE(SUBSTITUTE(SUBSTITUTE(E7,".",""),"-","")," ",""),"/",""),{1,2,3,4,5,6,7,8,9,10},1),{11,10,9,8,7,6,5,4,3,2}),11)&lt;2,0,11-MOD(SUMPRODUCT(--MID(SUBSTITUTE(SUBSTITUTE(SUBSTITUTE(SUBSTITUTE(E7,".",""),"-","")," ",""),"/",""),{1,2,3,4,5,6,7,8,9,10},1),{11,10,9,8,7,6,5,4,3,2}),11))),FALSE()),AND(LEN(SUBSTITUTE(SUBSTITUTE(SUBSTITUTE(SUBSTITUTE(E7,".",""),"-","")," ",""),"/",""))=14,ISNUMBER(VALUE(SUBSTITUTE(SUBSTITUTE(SUBSTITUTE(SUBSTITUTE(E7,".",""),"-","")," ",""),"/",""))))),FALSE()))),"Revisar",IF(G7&lt;&gt;"Sim","Falta comprovante",IF(AND(B7="Educação",SUMIFS($F$6:$F$155,$B$6:$B$155,"Educação",$C$6:$C$155,C7)&gt;Parâmetros!$B$6),"Acima do limite","OK"))))</f>
        <v>OK</v>
      </c>
    </row>
    <row r="8" customFormat="false" ht="15" hidden="false" customHeight="false" outlineLevel="0" collapsed="false">
      <c r="A8" s="19" t="n">
        <v>46387</v>
      </c>
      <c r="B8" s="18" t="s">
        <v>88</v>
      </c>
      <c r="C8" s="18" t="s">
        <v>52</v>
      </c>
      <c r="D8" s="18" t="s">
        <v>89</v>
      </c>
      <c r="E8" s="18" t="s">
        <v>90</v>
      </c>
      <c r="F8" s="22" t="n">
        <v>5200</v>
      </c>
      <c r="G8" s="23" t="s">
        <v>69</v>
      </c>
      <c r="H8" s="18"/>
      <c r="I8" s="20" t="str">
        <f aca="false">IF(AND(B8="",F8=""),"",IF(OR(A8="",B8="",C8="",F8="",NOT(IFERROR(OR(IFERROR(AND(LEN(SUBSTITUTE(SUBSTITUTE(SUBSTITUTE(SUBSTITUTE(E8,".",""),"-","")," ",""),"/",""))=11,SUBSTITUTE(SUBSTITUTE(SUBSTITUTE(SUBSTITUTE(E8,".",""),"-","")," ",""),"/","")&lt;&gt;REPT(LEFT(SUBSTITUTE(SUBSTITUTE(SUBSTITUTE(SUBSTITUTE(E8,".",""),"-","")," ",""),"/",""),1),11),VALUE(MID(SUBSTITUTE(SUBSTITUTE(SUBSTITUTE(SUBSTITUTE(E8,".",""),"-","")," ",""),"/",""),10,1))=IF(MOD(SUMPRODUCT(--MID(SUBSTITUTE(SUBSTITUTE(SUBSTITUTE(SUBSTITUTE(E8,".",""),"-","")," ",""),"/",""),{1,2,3,4,5,6,7,8,9},1),{10,9,8,7,6,5,4,3,2}),11)&lt;2,0,11-MOD(SUMPRODUCT(--MID(SUBSTITUTE(SUBSTITUTE(SUBSTITUTE(SUBSTITUTE(E8,".",""),"-","")," ",""),"/",""),{1,2,3,4,5,6,7,8,9},1),{10,9,8,7,6,5,4,3,2}),11)),VALUE(MID(SUBSTITUTE(SUBSTITUTE(SUBSTITUTE(SUBSTITUTE(E8,".",""),"-","")," ",""),"/",""),11,1))=IF(MOD(SUMPRODUCT(--MID(SUBSTITUTE(SUBSTITUTE(SUBSTITUTE(SUBSTITUTE(E8,".",""),"-","")," ",""),"/",""),{1,2,3,4,5,6,7,8,9,10},1),{11,10,9,8,7,6,5,4,3,2}),11)&lt;2,0,11-MOD(SUMPRODUCT(--MID(SUBSTITUTE(SUBSTITUTE(SUBSTITUTE(SUBSTITUTE(E8,".",""),"-","")," ",""),"/",""),{1,2,3,4,5,6,7,8,9,10},1),{11,10,9,8,7,6,5,4,3,2}),11))),FALSE()),AND(LEN(SUBSTITUTE(SUBSTITUTE(SUBSTITUTE(SUBSTITUTE(E8,".",""),"-","")," ",""),"/",""))=14,ISNUMBER(VALUE(SUBSTITUTE(SUBSTITUTE(SUBSTITUTE(SUBSTITUTE(E8,".",""),"-","")," ",""),"/",""))))),FALSE()))),"Revisar",IF(G8&lt;&gt;"Sim","Falta comprovante",IF(AND(B8="Educação",SUMIFS($F$6:$F$155,$B$6:$B$155,"Educação",$C$6:$C$155,C8)&gt;Parâmetros!$B$6),"Acima do limite","OK"))))</f>
        <v>Acima do limite</v>
      </c>
    </row>
    <row r="9" customFormat="false" ht="15" hidden="false" customHeight="false" outlineLevel="0" collapsed="false">
      <c r="A9" s="19" t="n">
        <v>46387</v>
      </c>
      <c r="B9" s="18" t="s">
        <v>91</v>
      </c>
      <c r="C9" s="18" t="s">
        <v>38</v>
      </c>
      <c r="D9" s="18" t="s">
        <v>92</v>
      </c>
      <c r="E9" s="18" t="s">
        <v>93</v>
      </c>
      <c r="F9" s="22" t="n">
        <v>3000</v>
      </c>
      <c r="G9" s="23" t="s">
        <v>75</v>
      </c>
      <c r="H9" s="18"/>
      <c r="I9" s="20" t="str">
        <f aca="false">IF(AND(B9="",F9=""),"",IF(OR(A9="",B9="",C9="",F9="",NOT(IFERROR(OR(IFERROR(AND(LEN(SUBSTITUTE(SUBSTITUTE(SUBSTITUTE(SUBSTITUTE(E9,".",""),"-","")," ",""),"/",""))=11,SUBSTITUTE(SUBSTITUTE(SUBSTITUTE(SUBSTITUTE(E9,".",""),"-","")," ",""),"/","")&lt;&gt;REPT(LEFT(SUBSTITUTE(SUBSTITUTE(SUBSTITUTE(SUBSTITUTE(E9,".",""),"-","")," ",""),"/",""),1),11),VALUE(MID(SUBSTITUTE(SUBSTITUTE(SUBSTITUTE(SUBSTITUTE(E9,".",""),"-","")," ",""),"/",""),10,1))=IF(MOD(SUMPRODUCT(--MID(SUBSTITUTE(SUBSTITUTE(SUBSTITUTE(SUBSTITUTE(E9,".",""),"-","")," ",""),"/",""),{1,2,3,4,5,6,7,8,9},1),{10,9,8,7,6,5,4,3,2}),11)&lt;2,0,11-MOD(SUMPRODUCT(--MID(SUBSTITUTE(SUBSTITUTE(SUBSTITUTE(SUBSTITUTE(E9,".",""),"-","")," ",""),"/",""),{1,2,3,4,5,6,7,8,9},1),{10,9,8,7,6,5,4,3,2}),11)),VALUE(MID(SUBSTITUTE(SUBSTITUTE(SUBSTITUTE(SUBSTITUTE(E9,".",""),"-","")," ",""),"/",""),11,1))=IF(MOD(SUMPRODUCT(--MID(SUBSTITUTE(SUBSTITUTE(SUBSTITUTE(SUBSTITUTE(E9,".",""),"-","")," ",""),"/",""),{1,2,3,4,5,6,7,8,9,10},1),{11,10,9,8,7,6,5,4,3,2}),11)&lt;2,0,11-MOD(SUMPRODUCT(--MID(SUBSTITUTE(SUBSTITUTE(SUBSTITUTE(SUBSTITUTE(E9,".",""),"-","")," ",""),"/",""),{1,2,3,4,5,6,7,8,9,10},1),{11,10,9,8,7,6,5,4,3,2}),11))),FALSE()),AND(LEN(SUBSTITUTE(SUBSTITUTE(SUBSTITUTE(SUBSTITUTE(E9,".",""),"-","")," ",""),"/",""))=14,ISNUMBER(VALUE(SUBSTITUTE(SUBSTITUTE(SUBSTITUTE(SUBSTITUTE(E9,".",""),"-","")," ",""),"/",""))))),FALSE()))),"Revisar",IF(G9&lt;&gt;"Sim","Falta comprovante",IF(AND(B9="Educação",SUMIFS($F$6:$F$155,$B$6:$B$155,"Educação",$C$6:$C$155,C9)&gt;Parâmetros!$B$6),"Acima do limite","OK"))))</f>
        <v>Falta comprovante</v>
      </c>
    </row>
    <row r="10" customFormat="false" ht="15" hidden="false" customHeight="false" outlineLevel="0" collapsed="false">
      <c r="A10" s="19"/>
      <c r="B10" s="18"/>
      <c r="C10" s="18"/>
      <c r="D10" s="18"/>
      <c r="E10" s="18"/>
      <c r="F10" s="22"/>
      <c r="G10" s="23"/>
      <c r="H10" s="18"/>
      <c r="I10" s="20" t="str">
        <f aca="false">IF(AND(B10="",F10=""),"",IF(OR(A10="",B10="",C10="",F10="",NOT(IFERROR(OR(IFERROR(AND(LEN(SUBSTITUTE(SUBSTITUTE(SUBSTITUTE(SUBSTITUTE(E10,".",""),"-","")," ",""),"/",""))=11,SUBSTITUTE(SUBSTITUTE(SUBSTITUTE(SUBSTITUTE(E10,".",""),"-","")," ",""),"/","")&lt;&gt;REPT(LEFT(SUBSTITUTE(SUBSTITUTE(SUBSTITUTE(SUBSTITUTE(E10,".",""),"-","")," ",""),"/",""),1),11),VALUE(MID(SUBSTITUTE(SUBSTITUTE(SUBSTITUTE(SUBSTITUTE(E10,".",""),"-","")," ",""),"/",""),10,1))=IF(MOD(SUMPRODUCT(--MID(SUBSTITUTE(SUBSTITUTE(SUBSTITUTE(SUBSTITUTE(E10,".",""),"-","")," ",""),"/",""),{1,2,3,4,5,6,7,8,9},1),{10,9,8,7,6,5,4,3,2}),11)&lt;2,0,11-MOD(SUMPRODUCT(--MID(SUBSTITUTE(SUBSTITUTE(SUBSTITUTE(SUBSTITUTE(E10,".",""),"-","")," ",""),"/",""),{1,2,3,4,5,6,7,8,9},1),{10,9,8,7,6,5,4,3,2}),11)),VALUE(MID(SUBSTITUTE(SUBSTITUTE(SUBSTITUTE(SUBSTITUTE(E10,".",""),"-","")," ",""),"/",""),11,1))=IF(MOD(SUMPRODUCT(--MID(SUBSTITUTE(SUBSTITUTE(SUBSTITUTE(SUBSTITUTE(E10,".",""),"-","")," ",""),"/",""),{1,2,3,4,5,6,7,8,9,10},1),{11,10,9,8,7,6,5,4,3,2}),11)&lt;2,0,11-MOD(SUMPRODUCT(--MID(SUBSTITUTE(SUBSTITUTE(SUBSTITUTE(SUBSTITUTE(E10,".",""),"-","")," ",""),"/",""),{1,2,3,4,5,6,7,8,9,10},1),{11,10,9,8,7,6,5,4,3,2}),11))),FALSE()),AND(LEN(SUBSTITUTE(SUBSTITUTE(SUBSTITUTE(SUBSTITUTE(E10,".",""),"-","")," ",""),"/",""))=14,ISNUMBER(VALUE(SUBSTITUTE(SUBSTITUTE(SUBSTITUTE(SUBSTITUTE(E10,".",""),"-","")," ",""),"/",""))))),FALSE()))),"Revisar",IF(G10&lt;&gt;"Sim","Falta comprovante",IF(AND(B10="Educação",SUMIFS($F$6:$F$155,$B$6:$B$155,"Educação",$C$6:$C$155,C10)&gt;Parâmetros!$B$6),"Acima do limite","OK"))))</f>
        <v/>
      </c>
    </row>
    <row r="11" customFormat="false" ht="15" hidden="false" customHeight="false" outlineLevel="0" collapsed="false">
      <c r="A11" s="19"/>
      <c r="B11" s="18"/>
      <c r="C11" s="18"/>
      <c r="D11" s="18"/>
      <c r="E11" s="18"/>
      <c r="F11" s="22"/>
      <c r="G11" s="23"/>
      <c r="H11" s="18"/>
      <c r="I11" s="20" t="str">
        <f aca="false">IF(AND(B11="",F11=""),"",IF(OR(A11="",B11="",C11="",F11="",NOT(IFERROR(OR(IFERROR(AND(LEN(SUBSTITUTE(SUBSTITUTE(SUBSTITUTE(SUBSTITUTE(E11,".",""),"-","")," ",""),"/",""))=11,SUBSTITUTE(SUBSTITUTE(SUBSTITUTE(SUBSTITUTE(E11,".",""),"-","")," ",""),"/","")&lt;&gt;REPT(LEFT(SUBSTITUTE(SUBSTITUTE(SUBSTITUTE(SUBSTITUTE(E11,".",""),"-","")," ",""),"/",""),1),11),VALUE(MID(SUBSTITUTE(SUBSTITUTE(SUBSTITUTE(SUBSTITUTE(E11,".",""),"-","")," ",""),"/",""),10,1))=IF(MOD(SUMPRODUCT(--MID(SUBSTITUTE(SUBSTITUTE(SUBSTITUTE(SUBSTITUTE(E11,".",""),"-","")," ",""),"/",""),{1,2,3,4,5,6,7,8,9},1),{10,9,8,7,6,5,4,3,2}),11)&lt;2,0,11-MOD(SUMPRODUCT(--MID(SUBSTITUTE(SUBSTITUTE(SUBSTITUTE(SUBSTITUTE(E11,".",""),"-","")," ",""),"/",""),{1,2,3,4,5,6,7,8,9},1),{10,9,8,7,6,5,4,3,2}),11)),VALUE(MID(SUBSTITUTE(SUBSTITUTE(SUBSTITUTE(SUBSTITUTE(E11,".",""),"-","")," ",""),"/",""),11,1))=IF(MOD(SUMPRODUCT(--MID(SUBSTITUTE(SUBSTITUTE(SUBSTITUTE(SUBSTITUTE(E11,".",""),"-","")," ",""),"/",""),{1,2,3,4,5,6,7,8,9,10},1),{11,10,9,8,7,6,5,4,3,2}),11)&lt;2,0,11-MOD(SUMPRODUCT(--MID(SUBSTITUTE(SUBSTITUTE(SUBSTITUTE(SUBSTITUTE(E11,".",""),"-","")," ",""),"/",""),{1,2,3,4,5,6,7,8,9,10},1),{11,10,9,8,7,6,5,4,3,2}),11))),FALSE()),AND(LEN(SUBSTITUTE(SUBSTITUTE(SUBSTITUTE(SUBSTITUTE(E11,".",""),"-","")," ",""),"/",""))=14,ISNUMBER(VALUE(SUBSTITUTE(SUBSTITUTE(SUBSTITUTE(SUBSTITUTE(E11,".",""),"-","")," ",""),"/",""))))),FALSE()))),"Revisar",IF(G11&lt;&gt;"Sim","Falta comprovante",IF(AND(B11="Educação",SUMIFS($F$6:$F$155,$B$6:$B$155,"Educação",$C$6:$C$155,C11)&gt;Parâmetros!$B$6),"Acima do limite","OK"))))</f>
        <v/>
      </c>
    </row>
    <row r="12" customFormat="false" ht="15" hidden="false" customHeight="false" outlineLevel="0" collapsed="false">
      <c r="A12" s="19"/>
      <c r="B12" s="18"/>
      <c r="C12" s="18"/>
      <c r="D12" s="18"/>
      <c r="E12" s="18"/>
      <c r="F12" s="22"/>
      <c r="G12" s="23"/>
      <c r="H12" s="18"/>
      <c r="I12" s="20" t="str">
        <f aca="false">IF(AND(B12="",F12=""),"",IF(OR(A12="",B12="",C12="",F12="",NOT(IFERROR(OR(IFERROR(AND(LEN(SUBSTITUTE(SUBSTITUTE(SUBSTITUTE(SUBSTITUTE(E12,".",""),"-","")," ",""),"/",""))=11,SUBSTITUTE(SUBSTITUTE(SUBSTITUTE(SUBSTITUTE(E12,".",""),"-","")," ",""),"/","")&lt;&gt;REPT(LEFT(SUBSTITUTE(SUBSTITUTE(SUBSTITUTE(SUBSTITUTE(E12,".",""),"-","")," ",""),"/",""),1),11),VALUE(MID(SUBSTITUTE(SUBSTITUTE(SUBSTITUTE(SUBSTITUTE(E12,".",""),"-","")," ",""),"/",""),10,1))=IF(MOD(SUMPRODUCT(--MID(SUBSTITUTE(SUBSTITUTE(SUBSTITUTE(SUBSTITUTE(E12,".",""),"-","")," ",""),"/",""),{1,2,3,4,5,6,7,8,9},1),{10,9,8,7,6,5,4,3,2}),11)&lt;2,0,11-MOD(SUMPRODUCT(--MID(SUBSTITUTE(SUBSTITUTE(SUBSTITUTE(SUBSTITUTE(E12,".",""),"-","")," ",""),"/",""),{1,2,3,4,5,6,7,8,9},1),{10,9,8,7,6,5,4,3,2}),11)),VALUE(MID(SUBSTITUTE(SUBSTITUTE(SUBSTITUTE(SUBSTITUTE(E12,".",""),"-","")," ",""),"/",""),11,1))=IF(MOD(SUMPRODUCT(--MID(SUBSTITUTE(SUBSTITUTE(SUBSTITUTE(SUBSTITUTE(E12,".",""),"-","")," ",""),"/",""),{1,2,3,4,5,6,7,8,9,10},1),{11,10,9,8,7,6,5,4,3,2}),11)&lt;2,0,11-MOD(SUMPRODUCT(--MID(SUBSTITUTE(SUBSTITUTE(SUBSTITUTE(SUBSTITUTE(E12,".",""),"-","")," ",""),"/",""),{1,2,3,4,5,6,7,8,9,10},1),{11,10,9,8,7,6,5,4,3,2}),11))),FALSE()),AND(LEN(SUBSTITUTE(SUBSTITUTE(SUBSTITUTE(SUBSTITUTE(E12,".",""),"-","")," ",""),"/",""))=14,ISNUMBER(VALUE(SUBSTITUTE(SUBSTITUTE(SUBSTITUTE(SUBSTITUTE(E12,".",""),"-","")," ",""),"/",""))))),FALSE()))),"Revisar",IF(G12&lt;&gt;"Sim","Falta comprovante",IF(AND(B12="Educação",SUMIFS($F$6:$F$155,$B$6:$B$155,"Educação",$C$6:$C$155,C12)&gt;Parâmetros!$B$6),"Acima do limite","OK"))))</f>
        <v/>
      </c>
    </row>
    <row r="13" customFormat="false" ht="15" hidden="false" customHeight="false" outlineLevel="0" collapsed="false">
      <c r="A13" s="19"/>
      <c r="B13" s="18"/>
      <c r="C13" s="18"/>
      <c r="D13" s="18"/>
      <c r="E13" s="18"/>
      <c r="F13" s="22"/>
      <c r="G13" s="23"/>
      <c r="H13" s="18"/>
      <c r="I13" s="20" t="str">
        <f aca="false">IF(AND(B13="",F13=""),"",IF(OR(A13="",B13="",C13="",F13="",NOT(IFERROR(OR(IFERROR(AND(LEN(SUBSTITUTE(SUBSTITUTE(SUBSTITUTE(SUBSTITUTE(E13,".",""),"-","")," ",""),"/",""))=11,SUBSTITUTE(SUBSTITUTE(SUBSTITUTE(SUBSTITUTE(E13,".",""),"-","")," ",""),"/","")&lt;&gt;REPT(LEFT(SUBSTITUTE(SUBSTITUTE(SUBSTITUTE(SUBSTITUTE(E13,".",""),"-","")," ",""),"/",""),1),11),VALUE(MID(SUBSTITUTE(SUBSTITUTE(SUBSTITUTE(SUBSTITUTE(E13,".",""),"-","")," ",""),"/",""),10,1))=IF(MOD(SUMPRODUCT(--MID(SUBSTITUTE(SUBSTITUTE(SUBSTITUTE(SUBSTITUTE(E13,".",""),"-","")," ",""),"/",""),{1,2,3,4,5,6,7,8,9},1),{10,9,8,7,6,5,4,3,2}),11)&lt;2,0,11-MOD(SUMPRODUCT(--MID(SUBSTITUTE(SUBSTITUTE(SUBSTITUTE(SUBSTITUTE(E13,".",""),"-","")," ",""),"/",""),{1,2,3,4,5,6,7,8,9},1),{10,9,8,7,6,5,4,3,2}),11)),VALUE(MID(SUBSTITUTE(SUBSTITUTE(SUBSTITUTE(SUBSTITUTE(E13,".",""),"-","")," ",""),"/",""),11,1))=IF(MOD(SUMPRODUCT(--MID(SUBSTITUTE(SUBSTITUTE(SUBSTITUTE(SUBSTITUTE(E13,".",""),"-","")," ",""),"/",""),{1,2,3,4,5,6,7,8,9,10},1),{11,10,9,8,7,6,5,4,3,2}),11)&lt;2,0,11-MOD(SUMPRODUCT(--MID(SUBSTITUTE(SUBSTITUTE(SUBSTITUTE(SUBSTITUTE(E13,".",""),"-","")," ",""),"/",""),{1,2,3,4,5,6,7,8,9,10},1),{11,10,9,8,7,6,5,4,3,2}),11))),FALSE()),AND(LEN(SUBSTITUTE(SUBSTITUTE(SUBSTITUTE(SUBSTITUTE(E13,".",""),"-","")," ",""),"/",""))=14,ISNUMBER(VALUE(SUBSTITUTE(SUBSTITUTE(SUBSTITUTE(SUBSTITUTE(E13,".",""),"-","")," ",""),"/",""))))),FALSE()))),"Revisar",IF(G13&lt;&gt;"Sim","Falta comprovante",IF(AND(B13="Educação",SUMIFS($F$6:$F$155,$B$6:$B$155,"Educação",$C$6:$C$155,C13)&gt;Parâmetros!$B$6),"Acima do limite","OK"))))</f>
        <v/>
      </c>
    </row>
    <row r="14" customFormat="false" ht="15" hidden="false" customHeight="false" outlineLevel="0" collapsed="false">
      <c r="A14" s="19"/>
      <c r="B14" s="18"/>
      <c r="C14" s="18"/>
      <c r="D14" s="18"/>
      <c r="E14" s="18"/>
      <c r="F14" s="22"/>
      <c r="G14" s="23"/>
      <c r="H14" s="18"/>
      <c r="I14" s="20" t="str">
        <f aca="false">IF(AND(B14="",F14=""),"",IF(OR(A14="",B14="",C14="",F14="",NOT(IFERROR(OR(IFERROR(AND(LEN(SUBSTITUTE(SUBSTITUTE(SUBSTITUTE(SUBSTITUTE(E14,".",""),"-","")," ",""),"/",""))=11,SUBSTITUTE(SUBSTITUTE(SUBSTITUTE(SUBSTITUTE(E14,".",""),"-","")," ",""),"/","")&lt;&gt;REPT(LEFT(SUBSTITUTE(SUBSTITUTE(SUBSTITUTE(SUBSTITUTE(E14,".",""),"-","")," ",""),"/",""),1),11),VALUE(MID(SUBSTITUTE(SUBSTITUTE(SUBSTITUTE(SUBSTITUTE(E14,".",""),"-","")," ",""),"/",""),10,1))=IF(MOD(SUMPRODUCT(--MID(SUBSTITUTE(SUBSTITUTE(SUBSTITUTE(SUBSTITUTE(E14,".",""),"-","")," ",""),"/",""),{1,2,3,4,5,6,7,8,9},1),{10,9,8,7,6,5,4,3,2}),11)&lt;2,0,11-MOD(SUMPRODUCT(--MID(SUBSTITUTE(SUBSTITUTE(SUBSTITUTE(SUBSTITUTE(E14,".",""),"-","")," ",""),"/",""),{1,2,3,4,5,6,7,8,9},1),{10,9,8,7,6,5,4,3,2}),11)),VALUE(MID(SUBSTITUTE(SUBSTITUTE(SUBSTITUTE(SUBSTITUTE(E14,".",""),"-","")," ",""),"/",""),11,1))=IF(MOD(SUMPRODUCT(--MID(SUBSTITUTE(SUBSTITUTE(SUBSTITUTE(SUBSTITUTE(E14,".",""),"-","")," ",""),"/",""),{1,2,3,4,5,6,7,8,9,10},1),{11,10,9,8,7,6,5,4,3,2}),11)&lt;2,0,11-MOD(SUMPRODUCT(--MID(SUBSTITUTE(SUBSTITUTE(SUBSTITUTE(SUBSTITUTE(E14,".",""),"-","")," ",""),"/",""),{1,2,3,4,5,6,7,8,9,10},1),{11,10,9,8,7,6,5,4,3,2}),11))),FALSE()),AND(LEN(SUBSTITUTE(SUBSTITUTE(SUBSTITUTE(SUBSTITUTE(E14,".",""),"-","")," ",""),"/",""))=14,ISNUMBER(VALUE(SUBSTITUTE(SUBSTITUTE(SUBSTITUTE(SUBSTITUTE(E14,".",""),"-","")," ",""),"/",""))))),FALSE()))),"Revisar",IF(G14&lt;&gt;"Sim","Falta comprovante",IF(AND(B14="Educação",SUMIFS($F$6:$F$155,$B$6:$B$155,"Educação",$C$6:$C$155,C14)&gt;Parâmetros!$B$6),"Acima do limite","OK"))))</f>
        <v/>
      </c>
    </row>
    <row r="15" customFormat="false" ht="15" hidden="false" customHeight="false" outlineLevel="0" collapsed="false">
      <c r="A15" s="19"/>
      <c r="B15" s="18"/>
      <c r="C15" s="18"/>
      <c r="D15" s="18"/>
      <c r="E15" s="18"/>
      <c r="F15" s="22"/>
      <c r="G15" s="23"/>
      <c r="H15" s="18"/>
      <c r="I15" s="20" t="str">
        <f aca="false">IF(AND(B15="",F15=""),"",IF(OR(A15="",B15="",C15="",F15="",NOT(IFERROR(OR(IFERROR(AND(LEN(SUBSTITUTE(SUBSTITUTE(SUBSTITUTE(SUBSTITUTE(E15,".",""),"-","")," ",""),"/",""))=11,SUBSTITUTE(SUBSTITUTE(SUBSTITUTE(SUBSTITUTE(E15,".",""),"-","")," ",""),"/","")&lt;&gt;REPT(LEFT(SUBSTITUTE(SUBSTITUTE(SUBSTITUTE(SUBSTITUTE(E15,".",""),"-","")," ",""),"/",""),1),11),VALUE(MID(SUBSTITUTE(SUBSTITUTE(SUBSTITUTE(SUBSTITUTE(E15,".",""),"-","")," ",""),"/",""),10,1))=IF(MOD(SUMPRODUCT(--MID(SUBSTITUTE(SUBSTITUTE(SUBSTITUTE(SUBSTITUTE(E15,".",""),"-","")," ",""),"/",""),{1,2,3,4,5,6,7,8,9},1),{10,9,8,7,6,5,4,3,2}),11)&lt;2,0,11-MOD(SUMPRODUCT(--MID(SUBSTITUTE(SUBSTITUTE(SUBSTITUTE(SUBSTITUTE(E15,".",""),"-","")," ",""),"/",""),{1,2,3,4,5,6,7,8,9},1),{10,9,8,7,6,5,4,3,2}),11)),VALUE(MID(SUBSTITUTE(SUBSTITUTE(SUBSTITUTE(SUBSTITUTE(E15,".",""),"-","")," ",""),"/",""),11,1))=IF(MOD(SUMPRODUCT(--MID(SUBSTITUTE(SUBSTITUTE(SUBSTITUTE(SUBSTITUTE(E15,".",""),"-","")," ",""),"/",""),{1,2,3,4,5,6,7,8,9,10},1),{11,10,9,8,7,6,5,4,3,2}),11)&lt;2,0,11-MOD(SUMPRODUCT(--MID(SUBSTITUTE(SUBSTITUTE(SUBSTITUTE(SUBSTITUTE(E15,".",""),"-","")," ",""),"/",""),{1,2,3,4,5,6,7,8,9,10},1),{11,10,9,8,7,6,5,4,3,2}),11))),FALSE()),AND(LEN(SUBSTITUTE(SUBSTITUTE(SUBSTITUTE(SUBSTITUTE(E15,".",""),"-","")," ",""),"/",""))=14,ISNUMBER(VALUE(SUBSTITUTE(SUBSTITUTE(SUBSTITUTE(SUBSTITUTE(E15,".",""),"-","")," ",""),"/",""))))),FALSE()))),"Revisar",IF(G15&lt;&gt;"Sim","Falta comprovante",IF(AND(B15="Educação",SUMIFS($F$6:$F$155,$B$6:$B$155,"Educação",$C$6:$C$155,C15)&gt;Parâmetros!$B$6),"Acima do limite","OK"))))</f>
        <v/>
      </c>
    </row>
    <row r="16" customFormat="false" ht="15" hidden="false" customHeight="false" outlineLevel="0" collapsed="false">
      <c r="A16" s="19"/>
      <c r="B16" s="18"/>
      <c r="C16" s="18"/>
      <c r="D16" s="18"/>
      <c r="E16" s="18"/>
      <c r="F16" s="22"/>
      <c r="G16" s="23"/>
      <c r="H16" s="18"/>
      <c r="I16" s="20" t="str">
        <f aca="false">IF(AND(B16="",F16=""),"",IF(OR(A16="",B16="",C16="",F16="",NOT(IFERROR(OR(IFERROR(AND(LEN(SUBSTITUTE(SUBSTITUTE(SUBSTITUTE(SUBSTITUTE(E16,".",""),"-","")," ",""),"/",""))=11,SUBSTITUTE(SUBSTITUTE(SUBSTITUTE(SUBSTITUTE(E16,".",""),"-","")," ",""),"/","")&lt;&gt;REPT(LEFT(SUBSTITUTE(SUBSTITUTE(SUBSTITUTE(SUBSTITUTE(E16,".",""),"-","")," ",""),"/",""),1),11),VALUE(MID(SUBSTITUTE(SUBSTITUTE(SUBSTITUTE(SUBSTITUTE(E16,".",""),"-","")," ",""),"/",""),10,1))=IF(MOD(SUMPRODUCT(--MID(SUBSTITUTE(SUBSTITUTE(SUBSTITUTE(SUBSTITUTE(E16,".",""),"-","")," ",""),"/",""),{1,2,3,4,5,6,7,8,9},1),{10,9,8,7,6,5,4,3,2}),11)&lt;2,0,11-MOD(SUMPRODUCT(--MID(SUBSTITUTE(SUBSTITUTE(SUBSTITUTE(SUBSTITUTE(E16,".",""),"-","")," ",""),"/",""),{1,2,3,4,5,6,7,8,9},1),{10,9,8,7,6,5,4,3,2}),11)),VALUE(MID(SUBSTITUTE(SUBSTITUTE(SUBSTITUTE(SUBSTITUTE(E16,".",""),"-","")," ",""),"/",""),11,1))=IF(MOD(SUMPRODUCT(--MID(SUBSTITUTE(SUBSTITUTE(SUBSTITUTE(SUBSTITUTE(E16,".",""),"-","")," ",""),"/",""),{1,2,3,4,5,6,7,8,9,10},1),{11,10,9,8,7,6,5,4,3,2}),11)&lt;2,0,11-MOD(SUMPRODUCT(--MID(SUBSTITUTE(SUBSTITUTE(SUBSTITUTE(SUBSTITUTE(E16,".",""),"-","")," ",""),"/",""),{1,2,3,4,5,6,7,8,9,10},1),{11,10,9,8,7,6,5,4,3,2}),11))),FALSE()),AND(LEN(SUBSTITUTE(SUBSTITUTE(SUBSTITUTE(SUBSTITUTE(E16,".",""),"-","")," ",""),"/",""))=14,ISNUMBER(VALUE(SUBSTITUTE(SUBSTITUTE(SUBSTITUTE(SUBSTITUTE(E16,".",""),"-","")," ",""),"/",""))))),FALSE()))),"Revisar",IF(G16&lt;&gt;"Sim","Falta comprovante",IF(AND(B16="Educação",SUMIFS($F$6:$F$155,$B$6:$B$155,"Educação",$C$6:$C$155,C16)&gt;Parâmetros!$B$6),"Acima do limite","OK"))))</f>
        <v/>
      </c>
    </row>
    <row r="17" customFormat="false" ht="15" hidden="false" customHeight="false" outlineLevel="0" collapsed="false">
      <c r="A17" s="19"/>
      <c r="B17" s="18"/>
      <c r="C17" s="18"/>
      <c r="D17" s="18"/>
      <c r="E17" s="18"/>
      <c r="F17" s="22"/>
      <c r="G17" s="23"/>
      <c r="H17" s="18"/>
      <c r="I17" s="20" t="str">
        <f aca="false">IF(AND(B17="",F17=""),"",IF(OR(A17="",B17="",C17="",F17="",NOT(IFERROR(OR(IFERROR(AND(LEN(SUBSTITUTE(SUBSTITUTE(SUBSTITUTE(SUBSTITUTE(E17,".",""),"-","")," ",""),"/",""))=11,SUBSTITUTE(SUBSTITUTE(SUBSTITUTE(SUBSTITUTE(E17,".",""),"-","")," ",""),"/","")&lt;&gt;REPT(LEFT(SUBSTITUTE(SUBSTITUTE(SUBSTITUTE(SUBSTITUTE(E17,".",""),"-","")," ",""),"/",""),1),11),VALUE(MID(SUBSTITUTE(SUBSTITUTE(SUBSTITUTE(SUBSTITUTE(E17,".",""),"-","")," ",""),"/",""),10,1))=IF(MOD(SUMPRODUCT(--MID(SUBSTITUTE(SUBSTITUTE(SUBSTITUTE(SUBSTITUTE(E17,".",""),"-","")," ",""),"/",""),{1,2,3,4,5,6,7,8,9},1),{10,9,8,7,6,5,4,3,2}),11)&lt;2,0,11-MOD(SUMPRODUCT(--MID(SUBSTITUTE(SUBSTITUTE(SUBSTITUTE(SUBSTITUTE(E17,".",""),"-","")," ",""),"/",""),{1,2,3,4,5,6,7,8,9},1),{10,9,8,7,6,5,4,3,2}),11)),VALUE(MID(SUBSTITUTE(SUBSTITUTE(SUBSTITUTE(SUBSTITUTE(E17,".",""),"-","")," ",""),"/",""),11,1))=IF(MOD(SUMPRODUCT(--MID(SUBSTITUTE(SUBSTITUTE(SUBSTITUTE(SUBSTITUTE(E17,".",""),"-","")," ",""),"/",""),{1,2,3,4,5,6,7,8,9,10},1),{11,10,9,8,7,6,5,4,3,2}),11)&lt;2,0,11-MOD(SUMPRODUCT(--MID(SUBSTITUTE(SUBSTITUTE(SUBSTITUTE(SUBSTITUTE(E17,".",""),"-","")," ",""),"/",""),{1,2,3,4,5,6,7,8,9,10},1),{11,10,9,8,7,6,5,4,3,2}),11))),FALSE()),AND(LEN(SUBSTITUTE(SUBSTITUTE(SUBSTITUTE(SUBSTITUTE(E17,".",""),"-","")," ",""),"/",""))=14,ISNUMBER(VALUE(SUBSTITUTE(SUBSTITUTE(SUBSTITUTE(SUBSTITUTE(E17,".",""),"-","")," ",""),"/",""))))),FALSE()))),"Revisar",IF(G17&lt;&gt;"Sim","Falta comprovante",IF(AND(B17="Educação",SUMIFS($F$6:$F$155,$B$6:$B$155,"Educação",$C$6:$C$155,C17)&gt;Parâmetros!$B$6),"Acima do limite","OK"))))</f>
        <v/>
      </c>
    </row>
    <row r="18" customFormat="false" ht="15" hidden="false" customHeight="false" outlineLevel="0" collapsed="false">
      <c r="A18" s="19"/>
      <c r="B18" s="18"/>
      <c r="C18" s="18"/>
      <c r="D18" s="18"/>
      <c r="E18" s="18"/>
      <c r="F18" s="22"/>
      <c r="G18" s="23"/>
      <c r="H18" s="18"/>
      <c r="I18" s="20" t="str">
        <f aca="false">IF(AND(B18="",F18=""),"",IF(OR(A18="",B18="",C18="",F18="",NOT(IFERROR(OR(IFERROR(AND(LEN(SUBSTITUTE(SUBSTITUTE(SUBSTITUTE(SUBSTITUTE(E18,".",""),"-","")," ",""),"/",""))=11,SUBSTITUTE(SUBSTITUTE(SUBSTITUTE(SUBSTITUTE(E18,".",""),"-","")," ",""),"/","")&lt;&gt;REPT(LEFT(SUBSTITUTE(SUBSTITUTE(SUBSTITUTE(SUBSTITUTE(E18,".",""),"-","")," ",""),"/",""),1),11),VALUE(MID(SUBSTITUTE(SUBSTITUTE(SUBSTITUTE(SUBSTITUTE(E18,".",""),"-","")," ",""),"/",""),10,1))=IF(MOD(SUMPRODUCT(--MID(SUBSTITUTE(SUBSTITUTE(SUBSTITUTE(SUBSTITUTE(E18,".",""),"-","")," ",""),"/",""),{1,2,3,4,5,6,7,8,9},1),{10,9,8,7,6,5,4,3,2}),11)&lt;2,0,11-MOD(SUMPRODUCT(--MID(SUBSTITUTE(SUBSTITUTE(SUBSTITUTE(SUBSTITUTE(E18,".",""),"-","")," ",""),"/",""),{1,2,3,4,5,6,7,8,9},1),{10,9,8,7,6,5,4,3,2}),11)),VALUE(MID(SUBSTITUTE(SUBSTITUTE(SUBSTITUTE(SUBSTITUTE(E18,".",""),"-","")," ",""),"/",""),11,1))=IF(MOD(SUMPRODUCT(--MID(SUBSTITUTE(SUBSTITUTE(SUBSTITUTE(SUBSTITUTE(E18,".",""),"-","")," ",""),"/",""),{1,2,3,4,5,6,7,8,9,10},1),{11,10,9,8,7,6,5,4,3,2}),11)&lt;2,0,11-MOD(SUMPRODUCT(--MID(SUBSTITUTE(SUBSTITUTE(SUBSTITUTE(SUBSTITUTE(E18,".",""),"-","")," ",""),"/",""),{1,2,3,4,5,6,7,8,9,10},1),{11,10,9,8,7,6,5,4,3,2}),11))),FALSE()),AND(LEN(SUBSTITUTE(SUBSTITUTE(SUBSTITUTE(SUBSTITUTE(E18,".",""),"-","")," ",""),"/",""))=14,ISNUMBER(VALUE(SUBSTITUTE(SUBSTITUTE(SUBSTITUTE(SUBSTITUTE(E18,".",""),"-","")," ",""),"/",""))))),FALSE()))),"Revisar",IF(G18&lt;&gt;"Sim","Falta comprovante",IF(AND(B18="Educação",SUMIFS($F$6:$F$155,$B$6:$B$155,"Educação",$C$6:$C$155,C18)&gt;Parâmetros!$B$6),"Acima do limite","OK"))))</f>
        <v/>
      </c>
    </row>
    <row r="19" customFormat="false" ht="15" hidden="false" customHeight="false" outlineLevel="0" collapsed="false">
      <c r="A19" s="19"/>
      <c r="B19" s="18"/>
      <c r="C19" s="18"/>
      <c r="D19" s="18"/>
      <c r="E19" s="18"/>
      <c r="F19" s="22"/>
      <c r="G19" s="23"/>
      <c r="H19" s="18"/>
      <c r="I19" s="20" t="str">
        <f aca="false">IF(AND(B19="",F19=""),"",IF(OR(A19="",B19="",C19="",F19="",NOT(IFERROR(OR(IFERROR(AND(LEN(SUBSTITUTE(SUBSTITUTE(SUBSTITUTE(SUBSTITUTE(E19,".",""),"-","")," ",""),"/",""))=11,SUBSTITUTE(SUBSTITUTE(SUBSTITUTE(SUBSTITUTE(E19,".",""),"-","")," ",""),"/","")&lt;&gt;REPT(LEFT(SUBSTITUTE(SUBSTITUTE(SUBSTITUTE(SUBSTITUTE(E19,".",""),"-","")," ",""),"/",""),1),11),VALUE(MID(SUBSTITUTE(SUBSTITUTE(SUBSTITUTE(SUBSTITUTE(E19,".",""),"-","")," ",""),"/",""),10,1))=IF(MOD(SUMPRODUCT(--MID(SUBSTITUTE(SUBSTITUTE(SUBSTITUTE(SUBSTITUTE(E19,".",""),"-","")," ",""),"/",""),{1,2,3,4,5,6,7,8,9},1),{10,9,8,7,6,5,4,3,2}),11)&lt;2,0,11-MOD(SUMPRODUCT(--MID(SUBSTITUTE(SUBSTITUTE(SUBSTITUTE(SUBSTITUTE(E19,".",""),"-","")," ",""),"/",""),{1,2,3,4,5,6,7,8,9},1),{10,9,8,7,6,5,4,3,2}),11)),VALUE(MID(SUBSTITUTE(SUBSTITUTE(SUBSTITUTE(SUBSTITUTE(E19,".",""),"-","")," ",""),"/",""),11,1))=IF(MOD(SUMPRODUCT(--MID(SUBSTITUTE(SUBSTITUTE(SUBSTITUTE(SUBSTITUTE(E19,".",""),"-","")," ",""),"/",""),{1,2,3,4,5,6,7,8,9,10},1),{11,10,9,8,7,6,5,4,3,2}),11)&lt;2,0,11-MOD(SUMPRODUCT(--MID(SUBSTITUTE(SUBSTITUTE(SUBSTITUTE(SUBSTITUTE(E19,".",""),"-","")," ",""),"/",""),{1,2,3,4,5,6,7,8,9,10},1),{11,10,9,8,7,6,5,4,3,2}),11))),FALSE()),AND(LEN(SUBSTITUTE(SUBSTITUTE(SUBSTITUTE(SUBSTITUTE(E19,".",""),"-","")," ",""),"/",""))=14,ISNUMBER(VALUE(SUBSTITUTE(SUBSTITUTE(SUBSTITUTE(SUBSTITUTE(E19,".",""),"-","")," ",""),"/",""))))),FALSE()))),"Revisar",IF(G19&lt;&gt;"Sim","Falta comprovante",IF(AND(B19="Educação",SUMIFS($F$6:$F$155,$B$6:$B$155,"Educação",$C$6:$C$155,C19)&gt;Parâmetros!$B$6),"Acima do limite","OK"))))</f>
        <v/>
      </c>
    </row>
    <row r="20" customFormat="false" ht="15" hidden="false" customHeight="false" outlineLevel="0" collapsed="false">
      <c r="A20" s="19"/>
      <c r="B20" s="18"/>
      <c r="C20" s="18"/>
      <c r="D20" s="18"/>
      <c r="E20" s="18"/>
      <c r="F20" s="22"/>
      <c r="G20" s="23"/>
      <c r="H20" s="18"/>
      <c r="I20" s="20" t="str">
        <f aca="false">IF(AND(B20="",F20=""),"",IF(OR(A20="",B20="",C20="",F20="",NOT(IFERROR(OR(IFERROR(AND(LEN(SUBSTITUTE(SUBSTITUTE(SUBSTITUTE(SUBSTITUTE(E20,".",""),"-","")," ",""),"/",""))=11,SUBSTITUTE(SUBSTITUTE(SUBSTITUTE(SUBSTITUTE(E20,".",""),"-","")," ",""),"/","")&lt;&gt;REPT(LEFT(SUBSTITUTE(SUBSTITUTE(SUBSTITUTE(SUBSTITUTE(E20,".",""),"-","")," ",""),"/",""),1),11),VALUE(MID(SUBSTITUTE(SUBSTITUTE(SUBSTITUTE(SUBSTITUTE(E20,".",""),"-","")," ",""),"/",""),10,1))=IF(MOD(SUMPRODUCT(--MID(SUBSTITUTE(SUBSTITUTE(SUBSTITUTE(SUBSTITUTE(E20,".",""),"-","")," ",""),"/",""),{1,2,3,4,5,6,7,8,9},1),{10,9,8,7,6,5,4,3,2}),11)&lt;2,0,11-MOD(SUMPRODUCT(--MID(SUBSTITUTE(SUBSTITUTE(SUBSTITUTE(SUBSTITUTE(E20,".",""),"-","")," ",""),"/",""),{1,2,3,4,5,6,7,8,9},1),{10,9,8,7,6,5,4,3,2}),11)),VALUE(MID(SUBSTITUTE(SUBSTITUTE(SUBSTITUTE(SUBSTITUTE(E20,".",""),"-","")," ",""),"/",""),11,1))=IF(MOD(SUMPRODUCT(--MID(SUBSTITUTE(SUBSTITUTE(SUBSTITUTE(SUBSTITUTE(E20,".",""),"-","")," ",""),"/",""),{1,2,3,4,5,6,7,8,9,10},1),{11,10,9,8,7,6,5,4,3,2}),11)&lt;2,0,11-MOD(SUMPRODUCT(--MID(SUBSTITUTE(SUBSTITUTE(SUBSTITUTE(SUBSTITUTE(E20,".",""),"-","")," ",""),"/",""),{1,2,3,4,5,6,7,8,9,10},1),{11,10,9,8,7,6,5,4,3,2}),11))),FALSE()),AND(LEN(SUBSTITUTE(SUBSTITUTE(SUBSTITUTE(SUBSTITUTE(E20,".",""),"-","")," ",""),"/",""))=14,ISNUMBER(VALUE(SUBSTITUTE(SUBSTITUTE(SUBSTITUTE(SUBSTITUTE(E20,".",""),"-","")," ",""),"/",""))))),FALSE()))),"Revisar",IF(G20&lt;&gt;"Sim","Falta comprovante",IF(AND(B20="Educação",SUMIFS($F$6:$F$155,$B$6:$B$155,"Educação",$C$6:$C$155,C20)&gt;Parâmetros!$B$6),"Acima do limite","OK"))))</f>
        <v/>
      </c>
    </row>
    <row r="21" customFormat="false" ht="15" hidden="false" customHeight="false" outlineLevel="0" collapsed="false">
      <c r="A21" s="19"/>
      <c r="B21" s="18"/>
      <c r="C21" s="18"/>
      <c r="D21" s="18"/>
      <c r="E21" s="18"/>
      <c r="F21" s="22"/>
      <c r="G21" s="23"/>
      <c r="H21" s="18"/>
      <c r="I21" s="20" t="str">
        <f aca="false">IF(AND(B21="",F21=""),"",IF(OR(A21="",B21="",C21="",F21="",NOT(IFERROR(OR(IFERROR(AND(LEN(SUBSTITUTE(SUBSTITUTE(SUBSTITUTE(SUBSTITUTE(E21,".",""),"-","")," ",""),"/",""))=11,SUBSTITUTE(SUBSTITUTE(SUBSTITUTE(SUBSTITUTE(E21,".",""),"-","")," ",""),"/","")&lt;&gt;REPT(LEFT(SUBSTITUTE(SUBSTITUTE(SUBSTITUTE(SUBSTITUTE(E21,".",""),"-","")," ",""),"/",""),1),11),VALUE(MID(SUBSTITUTE(SUBSTITUTE(SUBSTITUTE(SUBSTITUTE(E21,".",""),"-","")," ",""),"/",""),10,1))=IF(MOD(SUMPRODUCT(--MID(SUBSTITUTE(SUBSTITUTE(SUBSTITUTE(SUBSTITUTE(E21,".",""),"-","")," ",""),"/",""),{1,2,3,4,5,6,7,8,9},1),{10,9,8,7,6,5,4,3,2}),11)&lt;2,0,11-MOD(SUMPRODUCT(--MID(SUBSTITUTE(SUBSTITUTE(SUBSTITUTE(SUBSTITUTE(E21,".",""),"-","")," ",""),"/",""),{1,2,3,4,5,6,7,8,9},1),{10,9,8,7,6,5,4,3,2}),11)),VALUE(MID(SUBSTITUTE(SUBSTITUTE(SUBSTITUTE(SUBSTITUTE(E21,".",""),"-","")," ",""),"/",""),11,1))=IF(MOD(SUMPRODUCT(--MID(SUBSTITUTE(SUBSTITUTE(SUBSTITUTE(SUBSTITUTE(E21,".",""),"-","")," ",""),"/",""),{1,2,3,4,5,6,7,8,9,10},1),{11,10,9,8,7,6,5,4,3,2}),11)&lt;2,0,11-MOD(SUMPRODUCT(--MID(SUBSTITUTE(SUBSTITUTE(SUBSTITUTE(SUBSTITUTE(E21,".",""),"-","")," ",""),"/",""),{1,2,3,4,5,6,7,8,9,10},1),{11,10,9,8,7,6,5,4,3,2}),11))),FALSE()),AND(LEN(SUBSTITUTE(SUBSTITUTE(SUBSTITUTE(SUBSTITUTE(E21,".",""),"-","")," ",""),"/",""))=14,ISNUMBER(VALUE(SUBSTITUTE(SUBSTITUTE(SUBSTITUTE(SUBSTITUTE(E21,".",""),"-","")," ",""),"/",""))))),FALSE()))),"Revisar",IF(G21&lt;&gt;"Sim","Falta comprovante",IF(AND(B21="Educação",SUMIFS($F$6:$F$155,$B$6:$B$155,"Educação",$C$6:$C$155,C21)&gt;Parâmetros!$B$6),"Acima do limite","OK"))))</f>
        <v/>
      </c>
    </row>
    <row r="22" customFormat="false" ht="15" hidden="false" customHeight="false" outlineLevel="0" collapsed="false">
      <c r="A22" s="19"/>
      <c r="B22" s="18"/>
      <c r="C22" s="18"/>
      <c r="D22" s="18"/>
      <c r="E22" s="18"/>
      <c r="F22" s="22"/>
      <c r="G22" s="23"/>
      <c r="H22" s="18"/>
      <c r="I22" s="20" t="str">
        <f aca="false">IF(AND(B22="",F22=""),"",IF(OR(A22="",B22="",C22="",F22="",NOT(IFERROR(OR(IFERROR(AND(LEN(SUBSTITUTE(SUBSTITUTE(SUBSTITUTE(SUBSTITUTE(E22,".",""),"-","")," ",""),"/",""))=11,SUBSTITUTE(SUBSTITUTE(SUBSTITUTE(SUBSTITUTE(E22,".",""),"-","")," ",""),"/","")&lt;&gt;REPT(LEFT(SUBSTITUTE(SUBSTITUTE(SUBSTITUTE(SUBSTITUTE(E22,".",""),"-","")," ",""),"/",""),1),11),VALUE(MID(SUBSTITUTE(SUBSTITUTE(SUBSTITUTE(SUBSTITUTE(E22,".",""),"-","")," ",""),"/",""),10,1))=IF(MOD(SUMPRODUCT(--MID(SUBSTITUTE(SUBSTITUTE(SUBSTITUTE(SUBSTITUTE(E22,".",""),"-","")," ",""),"/",""),{1,2,3,4,5,6,7,8,9},1),{10,9,8,7,6,5,4,3,2}),11)&lt;2,0,11-MOD(SUMPRODUCT(--MID(SUBSTITUTE(SUBSTITUTE(SUBSTITUTE(SUBSTITUTE(E22,".",""),"-","")," ",""),"/",""),{1,2,3,4,5,6,7,8,9},1),{10,9,8,7,6,5,4,3,2}),11)),VALUE(MID(SUBSTITUTE(SUBSTITUTE(SUBSTITUTE(SUBSTITUTE(E22,".",""),"-","")," ",""),"/",""),11,1))=IF(MOD(SUMPRODUCT(--MID(SUBSTITUTE(SUBSTITUTE(SUBSTITUTE(SUBSTITUTE(E22,".",""),"-","")," ",""),"/",""),{1,2,3,4,5,6,7,8,9,10},1),{11,10,9,8,7,6,5,4,3,2}),11)&lt;2,0,11-MOD(SUMPRODUCT(--MID(SUBSTITUTE(SUBSTITUTE(SUBSTITUTE(SUBSTITUTE(E22,".",""),"-","")," ",""),"/",""),{1,2,3,4,5,6,7,8,9,10},1),{11,10,9,8,7,6,5,4,3,2}),11))),FALSE()),AND(LEN(SUBSTITUTE(SUBSTITUTE(SUBSTITUTE(SUBSTITUTE(E22,".",""),"-","")," ",""),"/",""))=14,ISNUMBER(VALUE(SUBSTITUTE(SUBSTITUTE(SUBSTITUTE(SUBSTITUTE(E22,".",""),"-","")," ",""),"/",""))))),FALSE()))),"Revisar",IF(G22&lt;&gt;"Sim","Falta comprovante",IF(AND(B22="Educação",SUMIFS($F$6:$F$155,$B$6:$B$155,"Educação",$C$6:$C$155,C22)&gt;Parâmetros!$B$6),"Acima do limite","OK"))))</f>
        <v/>
      </c>
    </row>
    <row r="23" customFormat="false" ht="15" hidden="false" customHeight="false" outlineLevel="0" collapsed="false">
      <c r="A23" s="19"/>
      <c r="B23" s="18"/>
      <c r="C23" s="18"/>
      <c r="D23" s="18"/>
      <c r="E23" s="18"/>
      <c r="F23" s="22"/>
      <c r="G23" s="23"/>
      <c r="H23" s="18"/>
      <c r="I23" s="20" t="str">
        <f aca="false">IF(AND(B23="",F23=""),"",IF(OR(A23="",B23="",C23="",F23="",NOT(IFERROR(OR(IFERROR(AND(LEN(SUBSTITUTE(SUBSTITUTE(SUBSTITUTE(SUBSTITUTE(E23,".",""),"-","")," ",""),"/",""))=11,SUBSTITUTE(SUBSTITUTE(SUBSTITUTE(SUBSTITUTE(E23,".",""),"-","")," ",""),"/","")&lt;&gt;REPT(LEFT(SUBSTITUTE(SUBSTITUTE(SUBSTITUTE(SUBSTITUTE(E23,".",""),"-","")," ",""),"/",""),1),11),VALUE(MID(SUBSTITUTE(SUBSTITUTE(SUBSTITUTE(SUBSTITUTE(E23,".",""),"-","")," ",""),"/",""),10,1))=IF(MOD(SUMPRODUCT(--MID(SUBSTITUTE(SUBSTITUTE(SUBSTITUTE(SUBSTITUTE(E23,".",""),"-","")," ",""),"/",""),{1,2,3,4,5,6,7,8,9},1),{10,9,8,7,6,5,4,3,2}),11)&lt;2,0,11-MOD(SUMPRODUCT(--MID(SUBSTITUTE(SUBSTITUTE(SUBSTITUTE(SUBSTITUTE(E23,".",""),"-","")," ",""),"/",""),{1,2,3,4,5,6,7,8,9},1),{10,9,8,7,6,5,4,3,2}),11)),VALUE(MID(SUBSTITUTE(SUBSTITUTE(SUBSTITUTE(SUBSTITUTE(E23,".",""),"-","")," ",""),"/",""),11,1))=IF(MOD(SUMPRODUCT(--MID(SUBSTITUTE(SUBSTITUTE(SUBSTITUTE(SUBSTITUTE(E23,".",""),"-","")," ",""),"/",""),{1,2,3,4,5,6,7,8,9,10},1),{11,10,9,8,7,6,5,4,3,2}),11)&lt;2,0,11-MOD(SUMPRODUCT(--MID(SUBSTITUTE(SUBSTITUTE(SUBSTITUTE(SUBSTITUTE(E23,".",""),"-","")," ",""),"/",""),{1,2,3,4,5,6,7,8,9,10},1),{11,10,9,8,7,6,5,4,3,2}),11))),FALSE()),AND(LEN(SUBSTITUTE(SUBSTITUTE(SUBSTITUTE(SUBSTITUTE(E23,".",""),"-","")," ",""),"/",""))=14,ISNUMBER(VALUE(SUBSTITUTE(SUBSTITUTE(SUBSTITUTE(SUBSTITUTE(E23,".",""),"-","")," ",""),"/",""))))),FALSE()))),"Revisar",IF(G23&lt;&gt;"Sim","Falta comprovante",IF(AND(B23="Educação",SUMIFS($F$6:$F$155,$B$6:$B$155,"Educação",$C$6:$C$155,C23)&gt;Parâmetros!$B$6),"Acima do limite","OK"))))</f>
        <v/>
      </c>
    </row>
    <row r="24" customFormat="false" ht="15" hidden="false" customHeight="false" outlineLevel="0" collapsed="false">
      <c r="A24" s="19"/>
      <c r="B24" s="18"/>
      <c r="C24" s="18"/>
      <c r="D24" s="18"/>
      <c r="E24" s="18"/>
      <c r="F24" s="22"/>
      <c r="G24" s="23"/>
      <c r="H24" s="18"/>
      <c r="I24" s="20" t="str">
        <f aca="false">IF(AND(B24="",F24=""),"",IF(OR(A24="",B24="",C24="",F24="",NOT(IFERROR(OR(IFERROR(AND(LEN(SUBSTITUTE(SUBSTITUTE(SUBSTITUTE(SUBSTITUTE(E24,".",""),"-","")," ",""),"/",""))=11,SUBSTITUTE(SUBSTITUTE(SUBSTITUTE(SUBSTITUTE(E24,".",""),"-","")," ",""),"/","")&lt;&gt;REPT(LEFT(SUBSTITUTE(SUBSTITUTE(SUBSTITUTE(SUBSTITUTE(E24,".",""),"-","")," ",""),"/",""),1),11),VALUE(MID(SUBSTITUTE(SUBSTITUTE(SUBSTITUTE(SUBSTITUTE(E24,".",""),"-","")," ",""),"/",""),10,1))=IF(MOD(SUMPRODUCT(--MID(SUBSTITUTE(SUBSTITUTE(SUBSTITUTE(SUBSTITUTE(E24,".",""),"-","")," ",""),"/",""),{1,2,3,4,5,6,7,8,9},1),{10,9,8,7,6,5,4,3,2}),11)&lt;2,0,11-MOD(SUMPRODUCT(--MID(SUBSTITUTE(SUBSTITUTE(SUBSTITUTE(SUBSTITUTE(E24,".",""),"-","")," ",""),"/",""),{1,2,3,4,5,6,7,8,9},1),{10,9,8,7,6,5,4,3,2}),11)),VALUE(MID(SUBSTITUTE(SUBSTITUTE(SUBSTITUTE(SUBSTITUTE(E24,".",""),"-","")," ",""),"/",""),11,1))=IF(MOD(SUMPRODUCT(--MID(SUBSTITUTE(SUBSTITUTE(SUBSTITUTE(SUBSTITUTE(E24,".",""),"-","")," ",""),"/",""),{1,2,3,4,5,6,7,8,9,10},1),{11,10,9,8,7,6,5,4,3,2}),11)&lt;2,0,11-MOD(SUMPRODUCT(--MID(SUBSTITUTE(SUBSTITUTE(SUBSTITUTE(SUBSTITUTE(E24,".",""),"-","")," ",""),"/",""),{1,2,3,4,5,6,7,8,9,10},1),{11,10,9,8,7,6,5,4,3,2}),11))),FALSE()),AND(LEN(SUBSTITUTE(SUBSTITUTE(SUBSTITUTE(SUBSTITUTE(E24,".",""),"-","")," ",""),"/",""))=14,ISNUMBER(VALUE(SUBSTITUTE(SUBSTITUTE(SUBSTITUTE(SUBSTITUTE(E24,".",""),"-","")," ",""),"/",""))))),FALSE()))),"Revisar",IF(G24&lt;&gt;"Sim","Falta comprovante",IF(AND(B24="Educação",SUMIFS($F$6:$F$155,$B$6:$B$155,"Educação",$C$6:$C$155,C24)&gt;Parâmetros!$B$6),"Acima do limite","OK"))))</f>
        <v/>
      </c>
    </row>
    <row r="25" customFormat="false" ht="15" hidden="false" customHeight="false" outlineLevel="0" collapsed="false">
      <c r="A25" s="19"/>
      <c r="B25" s="18"/>
      <c r="C25" s="18"/>
      <c r="D25" s="18"/>
      <c r="E25" s="18"/>
      <c r="F25" s="22"/>
      <c r="G25" s="23"/>
      <c r="H25" s="18"/>
      <c r="I25" s="20" t="str">
        <f aca="false">IF(AND(B25="",F25=""),"",IF(OR(A25="",B25="",C25="",F25="",NOT(IFERROR(OR(IFERROR(AND(LEN(SUBSTITUTE(SUBSTITUTE(SUBSTITUTE(SUBSTITUTE(E25,".",""),"-","")," ",""),"/",""))=11,SUBSTITUTE(SUBSTITUTE(SUBSTITUTE(SUBSTITUTE(E25,".",""),"-","")," ",""),"/","")&lt;&gt;REPT(LEFT(SUBSTITUTE(SUBSTITUTE(SUBSTITUTE(SUBSTITUTE(E25,".",""),"-","")," ",""),"/",""),1),11),VALUE(MID(SUBSTITUTE(SUBSTITUTE(SUBSTITUTE(SUBSTITUTE(E25,".",""),"-","")," ",""),"/",""),10,1))=IF(MOD(SUMPRODUCT(--MID(SUBSTITUTE(SUBSTITUTE(SUBSTITUTE(SUBSTITUTE(E25,".",""),"-","")," ",""),"/",""),{1,2,3,4,5,6,7,8,9},1),{10,9,8,7,6,5,4,3,2}),11)&lt;2,0,11-MOD(SUMPRODUCT(--MID(SUBSTITUTE(SUBSTITUTE(SUBSTITUTE(SUBSTITUTE(E25,".",""),"-","")," ",""),"/",""),{1,2,3,4,5,6,7,8,9},1),{10,9,8,7,6,5,4,3,2}),11)),VALUE(MID(SUBSTITUTE(SUBSTITUTE(SUBSTITUTE(SUBSTITUTE(E25,".",""),"-","")," ",""),"/",""),11,1))=IF(MOD(SUMPRODUCT(--MID(SUBSTITUTE(SUBSTITUTE(SUBSTITUTE(SUBSTITUTE(E25,".",""),"-","")," ",""),"/",""),{1,2,3,4,5,6,7,8,9,10},1),{11,10,9,8,7,6,5,4,3,2}),11)&lt;2,0,11-MOD(SUMPRODUCT(--MID(SUBSTITUTE(SUBSTITUTE(SUBSTITUTE(SUBSTITUTE(E25,".",""),"-","")," ",""),"/",""),{1,2,3,4,5,6,7,8,9,10},1),{11,10,9,8,7,6,5,4,3,2}),11))),FALSE()),AND(LEN(SUBSTITUTE(SUBSTITUTE(SUBSTITUTE(SUBSTITUTE(E25,".",""),"-","")," ",""),"/",""))=14,ISNUMBER(VALUE(SUBSTITUTE(SUBSTITUTE(SUBSTITUTE(SUBSTITUTE(E25,".",""),"-","")," ",""),"/",""))))),FALSE()))),"Revisar",IF(G25&lt;&gt;"Sim","Falta comprovante",IF(AND(B25="Educação",SUMIFS($F$6:$F$155,$B$6:$B$155,"Educação",$C$6:$C$155,C25)&gt;Parâmetros!$B$6),"Acima do limite","OK"))))</f>
        <v/>
      </c>
    </row>
    <row r="26" customFormat="false" ht="15" hidden="false" customHeight="false" outlineLevel="0" collapsed="false">
      <c r="A26" s="19"/>
      <c r="B26" s="18"/>
      <c r="C26" s="18"/>
      <c r="D26" s="18"/>
      <c r="E26" s="18"/>
      <c r="F26" s="22"/>
      <c r="G26" s="23"/>
      <c r="H26" s="18"/>
      <c r="I26" s="20" t="str">
        <f aca="false">IF(AND(B26="",F26=""),"",IF(OR(A26="",B26="",C26="",F26="",NOT(IFERROR(OR(IFERROR(AND(LEN(SUBSTITUTE(SUBSTITUTE(SUBSTITUTE(SUBSTITUTE(E26,".",""),"-","")," ",""),"/",""))=11,SUBSTITUTE(SUBSTITUTE(SUBSTITUTE(SUBSTITUTE(E26,".",""),"-","")," ",""),"/","")&lt;&gt;REPT(LEFT(SUBSTITUTE(SUBSTITUTE(SUBSTITUTE(SUBSTITUTE(E26,".",""),"-","")," ",""),"/",""),1),11),VALUE(MID(SUBSTITUTE(SUBSTITUTE(SUBSTITUTE(SUBSTITUTE(E26,".",""),"-","")," ",""),"/",""),10,1))=IF(MOD(SUMPRODUCT(--MID(SUBSTITUTE(SUBSTITUTE(SUBSTITUTE(SUBSTITUTE(E26,".",""),"-","")," ",""),"/",""),{1,2,3,4,5,6,7,8,9},1),{10,9,8,7,6,5,4,3,2}),11)&lt;2,0,11-MOD(SUMPRODUCT(--MID(SUBSTITUTE(SUBSTITUTE(SUBSTITUTE(SUBSTITUTE(E26,".",""),"-","")," ",""),"/",""),{1,2,3,4,5,6,7,8,9},1),{10,9,8,7,6,5,4,3,2}),11)),VALUE(MID(SUBSTITUTE(SUBSTITUTE(SUBSTITUTE(SUBSTITUTE(E26,".",""),"-","")," ",""),"/",""),11,1))=IF(MOD(SUMPRODUCT(--MID(SUBSTITUTE(SUBSTITUTE(SUBSTITUTE(SUBSTITUTE(E26,".",""),"-","")," ",""),"/",""),{1,2,3,4,5,6,7,8,9,10},1),{11,10,9,8,7,6,5,4,3,2}),11)&lt;2,0,11-MOD(SUMPRODUCT(--MID(SUBSTITUTE(SUBSTITUTE(SUBSTITUTE(SUBSTITUTE(E26,".",""),"-","")," ",""),"/",""),{1,2,3,4,5,6,7,8,9,10},1),{11,10,9,8,7,6,5,4,3,2}),11))),FALSE()),AND(LEN(SUBSTITUTE(SUBSTITUTE(SUBSTITUTE(SUBSTITUTE(E26,".",""),"-","")," ",""),"/",""))=14,ISNUMBER(VALUE(SUBSTITUTE(SUBSTITUTE(SUBSTITUTE(SUBSTITUTE(E26,".",""),"-","")," ",""),"/",""))))),FALSE()))),"Revisar",IF(G26&lt;&gt;"Sim","Falta comprovante",IF(AND(B26="Educação",SUMIFS($F$6:$F$155,$B$6:$B$155,"Educação",$C$6:$C$155,C26)&gt;Parâmetros!$B$6),"Acima do limite","OK"))))</f>
        <v/>
      </c>
    </row>
    <row r="27" customFormat="false" ht="15" hidden="false" customHeight="false" outlineLevel="0" collapsed="false">
      <c r="A27" s="19"/>
      <c r="B27" s="18"/>
      <c r="C27" s="18"/>
      <c r="D27" s="18"/>
      <c r="E27" s="18"/>
      <c r="F27" s="22"/>
      <c r="G27" s="23"/>
      <c r="H27" s="18"/>
      <c r="I27" s="20" t="str">
        <f aca="false">IF(AND(B27="",F27=""),"",IF(OR(A27="",B27="",C27="",F27="",NOT(IFERROR(OR(IFERROR(AND(LEN(SUBSTITUTE(SUBSTITUTE(SUBSTITUTE(SUBSTITUTE(E27,".",""),"-","")," ",""),"/",""))=11,SUBSTITUTE(SUBSTITUTE(SUBSTITUTE(SUBSTITUTE(E27,".",""),"-","")," ",""),"/","")&lt;&gt;REPT(LEFT(SUBSTITUTE(SUBSTITUTE(SUBSTITUTE(SUBSTITUTE(E27,".",""),"-","")," ",""),"/",""),1),11),VALUE(MID(SUBSTITUTE(SUBSTITUTE(SUBSTITUTE(SUBSTITUTE(E27,".",""),"-","")," ",""),"/",""),10,1))=IF(MOD(SUMPRODUCT(--MID(SUBSTITUTE(SUBSTITUTE(SUBSTITUTE(SUBSTITUTE(E27,".",""),"-","")," ",""),"/",""),{1,2,3,4,5,6,7,8,9},1),{10,9,8,7,6,5,4,3,2}),11)&lt;2,0,11-MOD(SUMPRODUCT(--MID(SUBSTITUTE(SUBSTITUTE(SUBSTITUTE(SUBSTITUTE(E27,".",""),"-","")," ",""),"/",""),{1,2,3,4,5,6,7,8,9},1),{10,9,8,7,6,5,4,3,2}),11)),VALUE(MID(SUBSTITUTE(SUBSTITUTE(SUBSTITUTE(SUBSTITUTE(E27,".",""),"-","")," ",""),"/",""),11,1))=IF(MOD(SUMPRODUCT(--MID(SUBSTITUTE(SUBSTITUTE(SUBSTITUTE(SUBSTITUTE(E27,".",""),"-","")," ",""),"/",""),{1,2,3,4,5,6,7,8,9,10},1),{11,10,9,8,7,6,5,4,3,2}),11)&lt;2,0,11-MOD(SUMPRODUCT(--MID(SUBSTITUTE(SUBSTITUTE(SUBSTITUTE(SUBSTITUTE(E27,".",""),"-","")," ",""),"/",""),{1,2,3,4,5,6,7,8,9,10},1),{11,10,9,8,7,6,5,4,3,2}),11))),FALSE()),AND(LEN(SUBSTITUTE(SUBSTITUTE(SUBSTITUTE(SUBSTITUTE(E27,".",""),"-","")," ",""),"/",""))=14,ISNUMBER(VALUE(SUBSTITUTE(SUBSTITUTE(SUBSTITUTE(SUBSTITUTE(E27,".",""),"-","")," ",""),"/",""))))),FALSE()))),"Revisar",IF(G27&lt;&gt;"Sim","Falta comprovante",IF(AND(B27="Educação",SUMIFS($F$6:$F$155,$B$6:$B$155,"Educação",$C$6:$C$155,C27)&gt;Parâmetros!$B$6),"Acima do limite","OK"))))</f>
        <v/>
      </c>
    </row>
    <row r="28" customFormat="false" ht="15" hidden="false" customHeight="false" outlineLevel="0" collapsed="false">
      <c r="A28" s="19"/>
      <c r="B28" s="18"/>
      <c r="C28" s="18"/>
      <c r="D28" s="18"/>
      <c r="E28" s="18"/>
      <c r="F28" s="22"/>
      <c r="G28" s="23"/>
      <c r="H28" s="18"/>
      <c r="I28" s="20" t="str">
        <f aca="false">IF(AND(B28="",F28=""),"",IF(OR(A28="",B28="",C28="",F28="",NOT(IFERROR(OR(IFERROR(AND(LEN(SUBSTITUTE(SUBSTITUTE(SUBSTITUTE(SUBSTITUTE(E28,".",""),"-","")," ",""),"/",""))=11,SUBSTITUTE(SUBSTITUTE(SUBSTITUTE(SUBSTITUTE(E28,".",""),"-","")," ",""),"/","")&lt;&gt;REPT(LEFT(SUBSTITUTE(SUBSTITUTE(SUBSTITUTE(SUBSTITUTE(E28,".",""),"-","")," ",""),"/",""),1),11),VALUE(MID(SUBSTITUTE(SUBSTITUTE(SUBSTITUTE(SUBSTITUTE(E28,".",""),"-","")," ",""),"/",""),10,1))=IF(MOD(SUMPRODUCT(--MID(SUBSTITUTE(SUBSTITUTE(SUBSTITUTE(SUBSTITUTE(E28,".",""),"-","")," ",""),"/",""),{1,2,3,4,5,6,7,8,9},1),{10,9,8,7,6,5,4,3,2}),11)&lt;2,0,11-MOD(SUMPRODUCT(--MID(SUBSTITUTE(SUBSTITUTE(SUBSTITUTE(SUBSTITUTE(E28,".",""),"-","")," ",""),"/",""),{1,2,3,4,5,6,7,8,9},1),{10,9,8,7,6,5,4,3,2}),11)),VALUE(MID(SUBSTITUTE(SUBSTITUTE(SUBSTITUTE(SUBSTITUTE(E28,".",""),"-","")," ",""),"/",""),11,1))=IF(MOD(SUMPRODUCT(--MID(SUBSTITUTE(SUBSTITUTE(SUBSTITUTE(SUBSTITUTE(E28,".",""),"-","")," ",""),"/",""),{1,2,3,4,5,6,7,8,9,10},1),{11,10,9,8,7,6,5,4,3,2}),11)&lt;2,0,11-MOD(SUMPRODUCT(--MID(SUBSTITUTE(SUBSTITUTE(SUBSTITUTE(SUBSTITUTE(E28,".",""),"-","")," ",""),"/",""),{1,2,3,4,5,6,7,8,9,10},1),{11,10,9,8,7,6,5,4,3,2}),11))),FALSE()),AND(LEN(SUBSTITUTE(SUBSTITUTE(SUBSTITUTE(SUBSTITUTE(E28,".",""),"-","")," ",""),"/",""))=14,ISNUMBER(VALUE(SUBSTITUTE(SUBSTITUTE(SUBSTITUTE(SUBSTITUTE(E28,".",""),"-","")," ",""),"/",""))))),FALSE()))),"Revisar",IF(G28&lt;&gt;"Sim","Falta comprovante",IF(AND(B28="Educação",SUMIFS($F$6:$F$155,$B$6:$B$155,"Educação",$C$6:$C$155,C28)&gt;Parâmetros!$B$6),"Acima do limite","OK"))))</f>
        <v/>
      </c>
    </row>
    <row r="29" customFormat="false" ht="15" hidden="false" customHeight="false" outlineLevel="0" collapsed="false">
      <c r="A29" s="19"/>
      <c r="B29" s="18"/>
      <c r="C29" s="18"/>
      <c r="D29" s="18"/>
      <c r="E29" s="18"/>
      <c r="F29" s="22"/>
      <c r="G29" s="23"/>
      <c r="H29" s="18"/>
      <c r="I29" s="20" t="str">
        <f aca="false">IF(AND(B29="",F29=""),"",IF(OR(A29="",B29="",C29="",F29="",NOT(IFERROR(OR(IFERROR(AND(LEN(SUBSTITUTE(SUBSTITUTE(SUBSTITUTE(SUBSTITUTE(E29,".",""),"-","")," ",""),"/",""))=11,SUBSTITUTE(SUBSTITUTE(SUBSTITUTE(SUBSTITUTE(E29,".",""),"-","")," ",""),"/","")&lt;&gt;REPT(LEFT(SUBSTITUTE(SUBSTITUTE(SUBSTITUTE(SUBSTITUTE(E29,".",""),"-","")," ",""),"/",""),1),11),VALUE(MID(SUBSTITUTE(SUBSTITUTE(SUBSTITUTE(SUBSTITUTE(E29,".",""),"-","")," ",""),"/",""),10,1))=IF(MOD(SUMPRODUCT(--MID(SUBSTITUTE(SUBSTITUTE(SUBSTITUTE(SUBSTITUTE(E29,".",""),"-","")," ",""),"/",""),{1,2,3,4,5,6,7,8,9},1),{10,9,8,7,6,5,4,3,2}),11)&lt;2,0,11-MOD(SUMPRODUCT(--MID(SUBSTITUTE(SUBSTITUTE(SUBSTITUTE(SUBSTITUTE(E29,".",""),"-","")," ",""),"/",""),{1,2,3,4,5,6,7,8,9},1),{10,9,8,7,6,5,4,3,2}),11)),VALUE(MID(SUBSTITUTE(SUBSTITUTE(SUBSTITUTE(SUBSTITUTE(E29,".",""),"-","")," ",""),"/",""),11,1))=IF(MOD(SUMPRODUCT(--MID(SUBSTITUTE(SUBSTITUTE(SUBSTITUTE(SUBSTITUTE(E29,".",""),"-","")," ",""),"/",""),{1,2,3,4,5,6,7,8,9,10},1),{11,10,9,8,7,6,5,4,3,2}),11)&lt;2,0,11-MOD(SUMPRODUCT(--MID(SUBSTITUTE(SUBSTITUTE(SUBSTITUTE(SUBSTITUTE(E29,".",""),"-","")," ",""),"/",""),{1,2,3,4,5,6,7,8,9,10},1),{11,10,9,8,7,6,5,4,3,2}),11))),FALSE()),AND(LEN(SUBSTITUTE(SUBSTITUTE(SUBSTITUTE(SUBSTITUTE(E29,".",""),"-","")," ",""),"/",""))=14,ISNUMBER(VALUE(SUBSTITUTE(SUBSTITUTE(SUBSTITUTE(SUBSTITUTE(E29,".",""),"-","")," ",""),"/",""))))),FALSE()))),"Revisar",IF(G29&lt;&gt;"Sim","Falta comprovante",IF(AND(B29="Educação",SUMIFS($F$6:$F$155,$B$6:$B$155,"Educação",$C$6:$C$155,C29)&gt;Parâmetros!$B$6),"Acima do limite","OK"))))</f>
        <v/>
      </c>
    </row>
    <row r="30" customFormat="false" ht="15" hidden="false" customHeight="false" outlineLevel="0" collapsed="false">
      <c r="A30" s="19"/>
      <c r="B30" s="18"/>
      <c r="C30" s="18"/>
      <c r="D30" s="18"/>
      <c r="E30" s="18"/>
      <c r="F30" s="22"/>
      <c r="G30" s="23"/>
      <c r="H30" s="18"/>
      <c r="I30" s="20" t="str">
        <f aca="false">IF(AND(B30="",F30=""),"",IF(OR(A30="",B30="",C30="",F30="",NOT(IFERROR(OR(IFERROR(AND(LEN(SUBSTITUTE(SUBSTITUTE(SUBSTITUTE(SUBSTITUTE(E30,".",""),"-","")," ",""),"/",""))=11,SUBSTITUTE(SUBSTITUTE(SUBSTITUTE(SUBSTITUTE(E30,".",""),"-","")," ",""),"/","")&lt;&gt;REPT(LEFT(SUBSTITUTE(SUBSTITUTE(SUBSTITUTE(SUBSTITUTE(E30,".",""),"-","")," ",""),"/",""),1),11),VALUE(MID(SUBSTITUTE(SUBSTITUTE(SUBSTITUTE(SUBSTITUTE(E30,".",""),"-","")," ",""),"/",""),10,1))=IF(MOD(SUMPRODUCT(--MID(SUBSTITUTE(SUBSTITUTE(SUBSTITUTE(SUBSTITUTE(E30,".",""),"-","")," ",""),"/",""),{1,2,3,4,5,6,7,8,9},1),{10,9,8,7,6,5,4,3,2}),11)&lt;2,0,11-MOD(SUMPRODUCT(--MID(SUBSTITUTE(SUBSTITUTE(SUBSTITUTE(SUBSTITUTE(E30,".",""),"-","")," ",""),"/",""),{1,2,3,4,5,6,7,8,9},1),{10,9,8,7,6,5,4,3,2}),11)),VALUE(MID(SUBSTITUTE(SUBSTITUTE(SUBSTITUTE(SUBSTITUTE(E30,".",""),"-","")," ",""),"/",""),11,1))=IF(MOD(SUMPRODUCT(--MID(SUBSTITUTE(SUBSTITUTE(SUBSTITUTE(SUBSTITUTE(E30,".",""),"-","")," ",""),"/",""),{1,2,3,4,5,6,7,8,9,10},1),{11,10,9,8,7,6,5,4,3,2}),11)&lt;2,0,11-MOD(SUMPRODUCT(--MID(SUBSTITUTE(SUBSTITUTE(SUBSTITUTE(SUBSTITUTE(E30,".",""),"-","")," ",""),"/",""),{1,2,3,4,5,6,7,8,9,10},1),{11,10,9,8,7,6,5,4,3,2}),11))),FALSE()),AND(LEN(SUBSTITUTE(SUBSTITUTE(SUBSTITUTE(SUBSTITUTE(E30,".",""),"-","")," ",""),"/",""))=14,ISNUMBER(VALUE(SUBSTITUTE(SUBSTITUTE(SUBSTITUTE(SUBSTITUTE(E30,".",""),"-","")," ",""),"/",""))))),FALSE()))),"Revisar",IF(G30&lt;&gt;"Sim","Falta comprovante",IF(AND(B30="Educação",SUMIFS($F$6:$F$155,$B$6:$B$155,"Educação",$C$6:$C$155,C30)&gt;Parâmetros!$B$6),"Acima do limite","OK"))))</f>
        <v/>
      </c>
    </row>
    <row r="31" customFormat="false" ht="15" hidden="false" customHeight="false" outlineLevel="0" collapsed="false">
      <c r="A31" s="19"/>
      <c r="B31" s="18"/>
      <c r="C31" s="18"/>
      <c r="D31" s="18"/>
      <c r="E31" s="18"/>
      <c r="F31" s="22"/>
      <c r="G31" s="23"/>
      <c r="H31" s="18"/>
      <c r="I31" s="20" t="str">
        <f aca="false">IF(AND(B31="",F31=""),"",IF(OR(A31="",B31="",C31="",F31="",NOT(IFERROR(OR(IFERROR(AND(LEN(SUBSTITUTE(SUBSTITUTE(SUBSTITUTE(SUBSTITUTE(E31,".",""),"-","")," ",""),"/",""))=11,SUBSTITUTE(SUBSTITUTE(SUBSTITUTE(SUBSTITUTE(E31,".",""),"-","")," ",""),"/","")&lt;&gt;REPT(LEFT(SUBSTITUTE(SUBSTITUTE(SUBSTITUTE(SUBSTITUTE(E31,".",""),"-","")," ",""),"/",""),1),11),VALUE(MID(SUBSTITUTE(SUBSTITUTE(SUBSTITUTE(SUBSTITUTE(E31,".",""),"-","")," ",""),"/",""),10,1))=IF(MOD(SUMPRODUCT(--MID(SUBSTITUTE(SUBSTITUTE(SUBSTITUTE(SUBSTITUTE(E31,".",""),"-","")," ",""),"/",""),{1,2,3,4,5,6,7,8,9},1),{10,9,8,7,6,5,4,3,2}),11)&lt;2,0,11-MOD(SUMPRODUCT(--MID(SUBSTITUTE(SUBSTITUTE(SUBSTITUTE(SUBSTITUTE(E31,".",""),"-","")," ",""),"/",""),{1,2,3,4,5,6,7,8,9},1),{10,9,8,7,6,5,4,3,2}),11)),VALUE(MID(SUBSTITUTE(SUBSTITUTE(SUBSTITUTE(SUBSTITUTE(E31,".",""),"-","")," ",""),"/",""),11,1))=IF(MOD(SUMPRODUCT(--MID(SUBSTITUTE(SUBSTITUTE(SUBSTITUTE(SUBSTITUTE(E31,".",""),"-","")," ",""),"/",""),{1,2,3,4,5,6,7,8,9,10},1),{11,10,9,8,7,6,5,4,3,2}),11)&lt;2,0,11-MOD(SUMPRODUCT(--MID(SUBSTITUTE(SUBSTITUTE(SUBSTITUTE(SUBSTITUTE(E31,".",""),"-","")," ",""),"/",""),{1,2,3,4,5,6,7,8,9,10},1),{11,10,9,8,7,6,5,4,3,2}),11))),FALSE()),AND(LEN(SUBSTITUTE(SUBSTITUTE(SUBSTITUTE(SUBSTITUTE(E31,".",""),"-","")," ",""),"/",""))=14,ISNUMBER(VALUE(SUBSTITUTE(SUBSTITUTE(SUBSTITUTE(SUBSTITUTE(E31,".",""),"-","")," ",""),"/",""))))),FALSE()))),"Revisar",IF(G31&lt;&gt;"Sim","Falta comprovante",IF(AND(B31="Educação",SUMIFS($F$6:$F$155,$B$6:$B$155,"Educação",$C$6:$C$155,C31)&gt;Parâmetros!$B$6),"Acima do limite","OK"))))</f>
        <v/>
      </c>
    </row>
    <row r="32" customFormat="false" ht="15" hidden="false" customHeight="false" outlineLevel="0" collapsed="false">
      <c r="A32" s="19"/>
      <c r="B32" s="18"/>
      <c r="C32" s="18"/>
      <c r="D32" s="18"/>
      <c r="E32" s="18"/>
      <c r="F32" s="22"/>
      <c r="G32" s="23"/>
      <c r="H32" s="18"/>
      <c r="I32" s="20" t="str">
        <f aca="false">IF(AND(B32="",F32=""),"",IF(OR(A32="",B32="",C32="",F32="",NOT(IFERROR(OR(IFERROR(AND(LEN(SUBSTITUTE(SUBSTITUTE(SUBSTITUTE(SUBSTITUTE(E32,".",""),"-","")," ",""),"/",""))=11,SUBSTITUTE(SUBSTITUTE(SUBSTITUTE(SUBSTITUTE(E32,".",""),"-","")," ",""),"/","")&lt;&gt;REPT(LEFT(SUBSTITUTE(SUBSTITUTE(SUBSTITUTE(SUBSTITUTE(E32,".",""),"-","")," ",""),"/",""),1),11),VALUE(MID(SUBSTITUTE(SUBSTITUTE(SUBSTITUTE(SUBSTITUTE(E32,".",""),"-","")," ",""),"/",""),10,1))=IF(MOD(SUMPRODUCT(--MID(SUBSTITUTE(SUBSTITUTE(SUBSTITUTE(SUBSTITUTE(E32,".",""),"-","")," ",""),"/",""),{1,2,3,4,5,6,7,8,9},1),{10,9,8,7,6,5,4,3,2}),11)&lt;2,0,11-MOD(SUMPRODUCT(--MID(SUBSTITUTE(SUBSTITUTE(SUBSTITUTE(SUBSTITUTE(E32,".",""),"-","")," ",""),"/",""),{1,2,3,4,5,6,7,8,9},1),{10,9,8,7,6,5,4,3,2}),11)),VALUE(MID(SUBSTITUTE(SUBSTITUTE(SUBSTITUTE(SUBSTITUTE(E32,".",""),"-","")," ",""),"/",""),11,1))=IF(MOD(SUMPRODUCT(--MID(SUBSTITUTE(SUBSTITUTE(SUBSTITUTE(SUBSTITUTE(E32,".",""),"-","")," ",""),"/",""),{1,2,3,4,5,6,7,8,9,10},1),{11,10,9,8,7,6,5,4,3,2}),11)&lt;2,0,11-MOD(SUMPRODUCT(--MID(SUBSTITUTE(SUBSTITUTE(SUBSTITUTE(SUBSTITUTE(E32,".",""),"-","")," ",""),"/",""),{1,2,3,4,5,6,7,8,9,10},1),{11,10,9,8,7,6,5,4,3,2}),11))),FALSE()),AND(LEN(SUBSTITUTE(SUBSTITUTE(SUBSTITUTE(SUBSTITUTE(E32,".",""),"-","")," ",""),"/",""))=14,ISNUMBER(VALUE(SUBSTITUTE(SUBSTITUTE(SUBSTITUTE(SUBSTITUTE(E32,".",""),"-","")," ",""),"/",""))))),FALSE()))),"Revisar",IF(G32&lt;&gt;"Sim","Falta comprovante",IF(AND(B32="Educação",SUMIFS($F$6:$F$155,$B$6:$B$155,"Educação",$C$6:$C$155,C32)&gt;Parâmetros!$B$6),"Acima do limite","OK"))))</f>
        <v/>
      </c>
    </row>
    <row r="33" customFormat="false" ht="15" hidden="false" customHeight="false" outlineLevel="0" collapsed="false">
      <c r="A33" s="19"/>
      <c r="B33" s="18"/>
      <c r="C33" s="18"/>
      <c r="D33" s="18"/>
      <c r="E33" s="18"/>
      <c r="F33" s="22"/>
      <c r="G33" s="23"/>
      <c r="H33" s="18"/>
      <c r="I33" s="20" t="str">
        <f aca="false">IF(AND(B33="",F33=""),"",IF(OR(A33="",B33="",C33="",F33="",NOT(IFERROR(OR(IFERROR(AND(LEN(SUBSTITUTE(SUBSTITUTE(SUBSTITUTE(SUBSTITUTE(E33,".",""),"-","")," ",""),"/",""))=11,SUBSTITUTE(SUBSTITUTE(SUBSTITUTE(SUBSTITUTE(E33,".",""),"-","")," ",""),"/","")&lt;&gt;REPT(LEFT(SUBSTITUTE(SUBSTITUTE(SUBSTITUTE(SUBSTITUTE(E33,".",""),"-","")," ",""),"/",""),1),11),VALUE(MID(SUBSTITUTE(SUBSTITUTE(SUBSTITUTE(SUBSTITUTE(E33,".",""),"-","")," ",""),"/",""),10,1))=IF(MOD(SUMPRODUCT(--MID(SUBSTITUTE(SUBSTITUTE(SUBSTITUTE(SUBSTITUTE(E33,".",""),"-","")," ",""),"/",""),{1,2,3,4,5,6,7,8,9},1),{10,9,8,7,6,5,4,3,2}),11)&lt;2,0,11-MOD(SUMPRODUCT(--MID(SUBSTITUTE(SUBSTITUTE(SUBSTITUTE(SUBSTITUTE(E33,".",""),"-","")," ",""),"/",""),{1,2,3,4,5,6,7,8,9},1),{10,9,8,7,6,5,4,3,2}),11)),VALUE(MID(SUBSTITUTE(SUBSTITUTE(SUBSTITUTE(SUBSTITUTE(E33,".",""),"-","")," ",""),"/",""),11,1))=IF(MOD(SUMPRODUCT(--MID(SUBSTITUTE(SUBSTITUTE(SUBSTITUTE(SUBSTITUTE(E33,".",""),"-","")," ",""),"/",""),{1,2,3,4,5,6,7,8,9,10},1),{11,10,9,8,7,6,5,4,3,2}),11)&lt;2,0,11-MOD(SUMPRODUCT(--MID(SUBSTITUTE(SUBSTITUTE(SUBSTITUTE(SUBSTITUTE(E33,".",""),"-","")," ",""),"/",""),{1,2,3,4,5,6,7,8,9,10},1),{11,10,9,8,7,6,5,4,3,2}),11))),FALSE()),AND(LEN(SUBSTITUTE(SUBSTITUTE(SUBSTITUTE(SUBSTITUTE(E33,".",""),"-","")," ",""),"/",""))=14,ISNUMBER(VALUE(SUBSTITUTE(SUBSTITUTE(SUBSTITUTE(SUBSTITUTE(E33,".",""),"-","")," ",""),"/",""))))),FALSE()))),"Revisar",IF(G33&lt;&gt;"Sim","Falta comprovante",IF(AND(B33="Educação",SUMIFS($F$6:$F$155,$B$6:$B$155,"Educação",$C$6:$C$155,C33)&gt;Parâmetros!$B$6),"Acima do limite","OK"))))</f>
        <v/>
      </c>
    </row>
    <row r="34" customFormat="false" ht="15" hidden="false" customHeight="false" outlineLevel="0" collapsed="false">
      <c r="A34" s="19"/>
      <c r="B34" s="18"/>
      <c r="C34" s="18"/>
      <c r="D34" s="18"/>
      <c r="E34" s="18"/>
      <c r="F34" s="22"/>
      <c r="G34" s="23"/>
      <c r="H34" s="18"/>
      <c r="I34" s="20" t="str">
        <f aca="false">IF(AND(B34="",F34=""),"",IF(OR(A34="",B34="",C34="",F34="",NOT(IFERROR(OR(IFERROR(AND(LEN(SUBSTITUTE(SUBSTITUTE(SUBSTITUTE(SUBSTITUTE(E34,".",""),"-","")," ",""),"/",""))=11,SUBSTITUTE(SUBSTITUTE(SUBSTITUTE(SUBSTITUTE(E34,".",""),"-","")," ",""),"/","")&lt;&gt;REPT(LEFT(SUBSTITUTE(SUBSTITUTE(SUBSTITUTE(SUBSTITUTE(E34,".",""),"-","")," ",""),"/",""),1),11),VALUE(MID(SUBSTITUTE(SUBSTITUTE(SUBSTITUTE(SUBSTITUTE(E34,".",""),"-","")," ",""),"/",""),10,1))=IF(MOD(SUMPRODUCT(--MID(SUBSTITUTE(SUBSTITUTE(SUBSTITUTE(SUBSTITUTE(E34,".",""),"-","")," ",""),"/",""),{1,2,3,4,5,6,7,8,9},1),{10,9,8,7,6,5,4,3,2}),11)&lt;2,0,11-MOD(SUMPRODUCT(--MID(SUBSTITUTE(SUBSTITUTE(SUBSTITUTE(SUBSTITUTE(E34,".",""),"-","")," ",""),"/",""),{1,2,3,4,5,6,7,8,9},1),{10,9,8,7,6,5,4,3,2}),11)),VALUE(MID(SUBSTITUTE(SUBSTITUTE(SUBSTITUTE(SUBSTITUTE(E34,".",""),"-","")," ",""),"/",""),11,1))=IF(MOD(SUMPRODUCT(--MID(SUBSTITUTE(SUBSTITUTE(SUBSTITUTE(SUBSTITUTE(E34,".",""),"-","")," ",""),"/",""),{1,2,3,4,5,6,7,8,9,10},1),{11,10,9,8,7,6,5,4,3,2}),11)&lt;2,0,11-MOD(SUMPRODUCT(--MID(SUBSTITUTE(SUBSTITUTE(SUBSTITUTE(SUBSTITUTE(E34,".",""),"-","")," ",""),"/",""),{1,2,3,4,5,6,7,8,9,10},1),{11,10,9,8,7,6,5,4,3,2}),11))),FALSE()),AND(LEN(SUBSTITUTE(SUBSTITUTE(SUBSTITUTE(SUBSTITUTE(E34,".",""),"-","")," ",""),"/",""))=14,ISNUMBER(VALUE(SUBSTITUTE(SUBSTITUTE(SUBSTITUTE(SUBSTITUTE(E34,".",""),"-","")," ",""),"/",""))))),FALSE()))),"Revisar",IF(G34&lt;&gt;"Sim","Falta comprovante",IF(AND(B34="Educação",SUMIFS($F$6:$F$155,$B$6:$B$155,"Educação",$C$6:$C$155,C34)&gt;Parâmetros!$B$6),"Acima do limite","OK"))))</f>
        <v/>
      </c>
    </row>
    <row r="35" customFormat="false" ht="15" hidden="false" customHeight="false" outlineLevel="0" collapsed="false">
      <c r="A35" s="19"/>
      <c r="B35" s="18"/>
      <c r="C35" s="18"/>
      <c r="D35" s="18"/>
      <c r="E35" s="18"/>
      <c r="F35" s="22"/>
      <c r="G35" s="23"/>
      <c r="H35" s="18"/>
      <c r="I35" s="20" t="str">
        <f aca="false">IF(AND(B35="",F35=""),"",IF(OR(A35="",B35="",C35="",F35="",NOT(IFERROR(OR(IFERROR(AND(LEN(SUBSTITUTE(SUBSTITUTE(SUBSTITUTE(SUBSTITUTE(E35,".",""),"-","")," ",""),"/",""))=11,SUBSTITUTE(SUBSTITUTE(SUBSTITUTE(SUBSTITUTE(E35,".",""),"-","")," ",""),"/","")&lt;&gt;REPT(LEFT(SUBSTITUTE(SUBSTITUTE(SUBSTITUTE(SUBSTITUTE(E35,".",""),"-","")," ",""),"/",""),1),11),VALUE(MID(SUBSTITUTE(SUBSTITUTE(SUBSTITUTE(SUBSTITUTE(E35,".",""),"-","")," ",""),"/",""),10,1))=IF(MOD(SUMPRODUCT(--MID(SUBSTITUTE(SUBSTITUTE(SUBSTITUTE(SUBSTITUTE(E35,".",""),"-","")," ",""),"/",""),{1,2,3,4,5,6,7,8,9},1),{10,9,8,7,6,5,4,3,2}),11)&lt;2,0,11-MOD(SUMPRODUCT(--MID(SUBSTITUTE(SUBSTITUTE(SUBSTITUTE(SUBSTITUTE(E35,".",""),"-","")," ",""),"/",""),{1,2,3,4,5,6,7,8,9},1),{10,9,8,7,6,5,4,3,2}),11)),VALUE(MID(SUBSTITUTE(SUBSTITUTE(SUBSTITUTE(SUBSTITUTE(E35,".",""),"-","")," ",""),"/",""),11,1))=IF(MOD(SUMPRODUCT(--MID(SUBSTITUTE(SUBSTITUTE(SUBSTITUTE(SUBSTITUTE(E35,".",""),"-","")," ",""),"/",""),{1,2,3,4,5,6,7,8,9,10},1),{11,10,9,8,7,6,5,4,3,2}),11)&lt;2,0,11-MOD(SUMPRODUCT(--MID(SUBSTITUTE(SUBSTITUTE(SUBSTITUTE(SUBSTITUTE(E35,".",""),"-","")," ",""),"/",""),{1,2,3,4,5,6,7,8,9,10},1),{11,10,9,8,7,6,5,4,3,2}),11))),FALSE()),AND(LEN(SUBSTITUTE(SUBSTITUTE(SUBSTITUTE(SUBSTITUTE(E35,".",""),"-","")," ",""),"/",""))=14,ISNUMBER(VALUE(SUBSTITUTE(SUBSTITUTE(SUBSTITUTE(SUBSTITUTE(E35,".",""),"-","")," ",""),"/",""))))),FALSE()))),"Revisar",IF(G35&lt;&gt;"Sim","Falta comprovante",IF(AND(B35="Educação",SUMIFS($F$6:$F$155,$B$6:$B$155,"Educação",$C$6:$C$155,C35)&gt;Parâmetros!$B$6),"Acima do limite","OK"))))</f>
        <v/>
      </c>
    </row>
    <row r="36" customFormat="false" ht="15" hidden="false" customHeight="false" outlineLevel="0" collapsed="false">
      <c r="A36" s="19"/>
      <c r="B36" s="18"/>
      <c r="C36" s="18"/>
      <c r="D36" s="18"/>
      <c r="E36" s="18"/>
      <c r="F36" s="22"/>
      <c r="G36" s="23"/>
      <c r="H36" s="18"/>
      <c r="I36" s="20" t="str">
        <f aca="false">IF(AND(B36="",F36=""),"",IF(OR(A36="",B36="",C36="",F36="",NOT(IFERROR(OR(IFERROR(AND(LEN(SUBSTITUTE(SUBSTITUTE(SUBSTITUTE(SUBSTITUTE(E36,".",""),"-","")," ",""),"/",""))=11,SUBSTITUTE(SUBSTITUTE(SUBSTITUTE(SUBSTITUTE(E36,".",""),"-","")," ",""),"/","")&lt;&gt;REPT(LEFT(SUBSTITUTE(SUBSTITUTE(SUBSTITUTE(SUBSTITUTE(E36,".",""),"-","")," ",""),"/",""),1),11),VALUE(MID(SUBSTITUTE(SUBSTITUTE(SUBSTITUTE(SUBSTITUTE(E36,".",""),"-","")," ",""),"/",""),10,1))=IF(MOD(SUMPRODUCT(--MID(SUBSTITUTE(SUBSTITUTE(SUBSTITUTE(SUBSTITUTE(E36,".",""),"-","")," ",""),"/",""),{1,2,3,4,5,6,7,8,9},1),{10,9,8,7,6,5,4,3,2}),11)&lt;2,0,11-MOD(SUMPRODUCT(--MID(SUBSTITUTE(SUBSTITUTE(SUBSTITUTE(SUBSTITUTE(E36,".",""),"-","")," ",""),"/",""),{1,2,3,4,5,6,7,8,9},1),{10,9,8,7,6,5,4,3,2}),11)),VALUE(MID(SUBSTITUTE(SUBSTITUTE(SUBSTITUTE(SUBSTITUTE(E36,".",""),"-","")," ",""),"/",""),11,1))=IF(MOD(SUMPRODUCT(--MID(SUBSTITUTE(SUBSTITUTE(SUBSTITUTE(SUBSTITUTE(E36,".",""),"-","")," ",""),"/",""),{1,2,3,4,5,6,7,8,9,10},1),{11,10,9,8,7,6,5,4,3,2}),11)&lt;2,0,11-MOD(SUMPRODUCT(--MID(SUBSTITUTE(SUBSTITUTE(SUBSTITUTE(SUBSTITUTE(E36,".",""),"-","")," ",""),"/",""),{1,2,3,4,5,6,7,8,9,10},1),{11,10,9,8,7,6,5,4,3,2}),11))),FALSE()),AND(LEN(SUBSTITUTE(SUBSTITUTE(SUBSTITUTE(SUBSTITUTE(E36,".",""),"-","")," ",""),"/",""))=14,ISNUMBER(VALUE(SUBSTITUTE(SUBSTITUTE(SUBSTITUTE(SUBSTITUTE(E36,".",""),"-","")," ",""),"/",""))))),FALSE()))),"Revisar",IF(G36&lt;&gt;"Sim","Falta comprovante",IF(AND(B36="Educação",SUMIFS($F$6:$F$155,$B$6:$B$155,"Educação",$C$6:$C$155,C36)&gt;Parâmetros!$B$6),"Acima do limite","OK"))))</f>
        <v/>
      </c>
    </row>
    <row r="37" customFormat="false" ht="15" hidden="false" customHeight="false" outlineLevel="0" collapsed="false">
      <c r="A37" s="19"/>
      <c r="B37" s="18"/>
      <c r="C37" s="18"/>
      <c r="D37" s="18"/>
      <c r="E37" s="18"/>
      <c r="F37" s="22"/>
      <c r="G37" s="23"/>
      <c r="H37" s="18"/>
      <c r="I37" s="20" t="str">
        <f aca="false">IF(AND(B37="",F37=""),"",IF(OR(A37="",B37="",C37="",F37="",NOT(IFERROR(OR(IFERROR(AND(LEN(SUBSTITUTE(SUBSTITUTE(SUBSTITUTE(SUBSTITUTE(E37,".",""),"-","")," ",""),"/",""))=11,SUBSTITUTE(SUBSTITUTE(SUBSTITUTE(SUBSTITUTE(E37,".",""),"-","")," ",""),"/","")&lt;&gt;REPT(LEFT(SUBSTITUTE(SUBSTITUTE(SUBSTITUTE(SUBSTITUTE(E37,".",""),"-","")," ",""),"/",""),1),11),VALUE(MID(SUBSTITUTE(SUBSTITUTE(SUBSTITUTE(SUBSTITUTE(E37,".",""),"-","")," ",""),"/",""),10,1))=IF(MOD(SUMPRODUCT(--MID(SUBSTITUTE(SUBSTITUTE(SUBSTITUTE(SUBSTITUTE(E37,".",""),"-","")," ",""),"/",""),{1,2,3,4,5,6,7,8,9},1),{10,9,8,7,6,5,4,3,2}),11)&lt;2,0,11-MOD(SUMPRODUCT(--MID(SUBSTITUTE(SUBSTITUTE(SUBSTITUTE(SUBSTITUTE(E37,".",""),"-","")," ",""),"/",""),{1,2,3,4,5,6,7,8,9},1),{10,9,8,7,6,5,4,3,2}),11)),VALUE(MID(SUBSTITUTE(SUBSTITUTE(SUBSTITUTE(SUBSTITUTE(E37,".",""),"-","")," ",""),"/",""),11,1))=IF(MOD(SUMPRODUCT(--MID(SUBSTITUTE(SUBSTITUTE(SUBSTITUTE(SUBSTITUTE(E37,".",""),"-","")," ",""),"/",""),{1,2,3,4,5,6,7,8,9,10},1),{11,10,9,8,7,6,5,4,3,2}),11)&lt;2,0,11-MOD(SUMPRODUCT(--MID(SUBSTITUTE(SUBSTITUTE(SUBSTITUTE(SUBSTITUTE(E37,".",""),"-","")," ",""),"/",""),{1,2,3,4,5,6,7,8,9,10},1),{11,10,9,8,7,6,5,4,3,2}),11))),FALSE()),AND(LEN(SUBSTITUTE(SUBSTITUTE(SUBSTITUTE(SUBSTITUTE(E37,".",""),"-","")," ",""),"/",""))=14,ISNUMBER(VALUE(SUBSTITUTE(SUBSTITUTE(SUBSTITUTE(SUBSTITUTE(E37,".",""),"-","")," ",""),"/",""))))),FALSE()))),"Revisar",IF(G37&lt;&gt;"Sim","Falta comprovante",IF(AND(B37="Educação",SUMIFS($F$6:$F$155,$B$6:$B$155,"Educação",$C$6:$C$155,C37)&gt;Parâmetros!$B$6),"Acima do limite","OK"))))</f>
        <v/>
      </c>
    </row>
    <row r="38" customFormat="false" ht="15" hidden="false" customHeight="false" outlineLevel="0" collapsed="false">
      <c r="A38" s="19"/>
      <c r="B38" s="18"/>
      <c r="C38" s="18"/>
      <c r="D38" s="18"/>
      <c r="E38" s="18"/>
      <c r="F38" s="22"/>
      <c r="G38" s="23"/>
      <c r="H38" s="18"/>
      <c r="I38" s="20" t="str">
        <f aca="false">IF(AND(B38="",F38=""),"",IF(OR(A38="",B38="",C38="",F38="",NOT(IFERROR(OR(IFERROR(AND(LEN(SUBSTITUTE(SUBSTITUTE(SUBSTITUTE(SUBSTITUTE(E38,".",""),"-","")," ",""),"/",""))=11,SUBSTITUTE(SUBSTITUTE(SUBSTITUTE(SUBSTITUTE(E38,".",""),"-","")," ",""),"/","")&lt;&gt;REPT(LEFT(SUBSTITUTE(SUBSTITUTE(SUBSTITUTE(SUBSTITUTE(E38,".",""),"-","")," ",""),"/",""),1),11),VALUE(MID(SUBSTITUTE(SUBSTITUTE(SUBSTITUTE(SUBSTITUTE(E38,".",""),"-","")," ",""),"/",""),10,1))=IF(MOD(SUMPRODUCT(--MID(SUBSTITUTE(SUBSTITUTE(SUBSTITUTE(SUBSTITUTE(E38,".",""),"-","")," ",""),"/",""),{1,2,3,4,5,6,7,8,9},1),{10,9,8,7,6,5,4,3,2}),11)&lt;2,0,11-MOD(SUMPRODUCT(--MID(SUBSTITUTE(SUBSTITUTE(SUBSTITUTE(SUBSTITUTE(E38,".",""),"-","")," ",""),"/",""),{1,2,3,4,5,6,7,8,9},1),{10,9,8,7,6,5,4,3,2}),11)),VALUE(MID(SUBSTITUTE(SUBSTITUTE(SUBSTITUTE(SUBSTITUTE(E38,".",""),"-","")," ",""),"/",""),11,1))=IF(MOD(SUMPRODUCT(--MID(SUBSTITUTE(SUBSTITUTE(SUBSTITUTE(SUBSTITUTE(E38,".",""),"-","")," ",""),"/",""),{1,2,3,4,5,6,7,8,9,10},1),{11,10,9,8,7,6,5,4,3,2}),11)&lt;2,0,11-MOD(SUMPRODUCT(--MID(SUBSTITUTE(SUBSTITUTE(SUBSTITUTE(SUBSTITUTE(E38,".",""),"-","")," ",""),"/",""),{1,2,3,4,5,6,7,8,9,10},1),{11,10,9,8,7,6,5,4,3,2}),11))),FALSE()),AND(LEN(SUBSTITUTE(SUBSTITUTE(SUBSTITUTE(SUBSTITUTE(E38,".",""),"-","")," ",""),"/",""))=14,ISNUMBER(VALUE(SUBSTITUTE(SUBSTITUTE(SUBSTITUTE(SUBSTITUTE(E38,".",""),"-","")," ",""),"/",""))))),FALSE()))),"Revisar",IF(G38&lt;&gt;"Sim","Falta comprovante",IF(AND(B38="Educação",SUMIFS($F$6:$F$155,$B$6:$B$155,"Educação",$C$6:$C$155,C38)&gt;Parâmetros!$B$6),"Acima do limite","OK"))))</f>
        <v/>
      </c>
    </row>
    <row r="39" customFormat="false" ht="15" hidden="false" customHeight="false" outlineLevel="0" collapsed="false">
      <c r="A39" s="19"/>
      <c r="B39" s="18"/>
      <c r="C39" s="18"/>
      <c r="D39" s="18"/>
      <c r="E39" s="18"/>
      <c r="F39" s="22"/>
      <c r="G39" s="23"/>
      <c r="H39" s="18"/>
      <c r="I39" s="20" t="str">
        <f aca="false">IF(AND(B39="",F39=""),"",IF(OR(A39="",B39="",C39="",F39="",NOT(IFERROR(OR(IFERROR(AND(LEN(SUBSTITUTE(SUBSTITUTE(SUBSTITUTE(SUBSTITUTE(E39,".",""),"-","")," ",""),"/",""))=11,SUBSTITUTE(SUBSTITUTE(SUBSTITUTE(SUBSTITUTE(E39,".",""),"-","")," ",""),"/","")&lt;&gt;REPT(LEFT(SUBSTITUTE(SUBSTITUTE(SUBSTITUTE(SUBSTITUTE(E39,".",""),"-","")," ",""),"/",""),1),11),VALUE(MID(SUBSTITUTE(SUBSTITUTE(SUBSTITUTE(SUBSTITUTE(E39,".",""),"-","")," ",""),"/",""),10,1))=IF(MOD(SUMPRODUCT(--MID(SUBSTITUTE(SUBSTITUTE(SUBSTITUTE(SUBSTITUTE(E39,".",""),"-","")," ",""),"/",""),{1,2,3,4,5,6,7,8,9},1),{10,9,8,7,6,5,4,3,2}),11)&lt;2,0,11-MOD(SUMPRODUCT(--MID(SUBSTITUTE(SUBSTITUTE(SUBSTITUTE(SUBSTITUTE(E39,".",""),"-","")," ",""),"/",""),{1,2,3,4,5,6,7,8,9},1),{10,9,8,7,6,5,4,3,2}),11)),VALUE(MID(SUBSTITUTE(SUBSTITUTE(SUBSTITUTE(SUBSTITUTE(E39,".",""),"-","")," ",""),"/",""),11,1))=IF(MOD(SUMPRODUCT(--MID(SUBSTITUTE(SUBSTITUTE(SUBSTITUTE(SUBSTITUTE(E39,".",""),"-","")," ",""),"/",""),{1,2,3,4,5,6,7,8,9,10},1),{11,10,9,8,7,6,5,4,3,2}),11)&lt;2,0,11-MOD(SUMPRODUCT(--MID(SUBSTITUTE(SUBSTITUTE(SUBSTITUTE(SUBSTITUTE(E39,".",""),"-","")," ",""),"/",""),{1,2,3,4,5,6,7,8,9,10},1),{11,10,9,8,7,6,5,4,3,2}),11))),FALSE()),AND(LEN(SUBSTITUTE(SUBSTITUTE(SUBSTITUTE(SUBSTITUTE(E39,".",""),"-","")," ",""),"/",""))=14,ISNUMBER(VALUE(SUBSTITUTE(SUBSTITUTE(SUBSTITUTE(SUBSTITUTE(E39,".",""),"-","")," ",""),"/",""))))),FALSE()))),"Revisar",IF(G39&lt;&gt;"Sim","Falta comprovante",IF(AND(B39="Educação",SUMIFS($F$6:$F$155,$B$6:$B$155,"Educação",$C$6:$C$155,C39)&gt;Parâmetros!$B$6),"Acima do limite","OK"))))</f>
        <v/>
      </c>
    </row>
    <row r="40" customFormat="false" ht="15" hidden="false" customHeight="false" outlineLevel="0" collapsed="false">
      <c r="A40" s="19"/>
      <c r="B40" s="18"/>
      <c r="C40" s="18"/>
      <c r="D40" s="18"/>
      <c r="E40" s="18"/>
      <c r="F40" s="22"/>
      <c r="G40" s="23"/>
      <c r="H40" s="18"/>
      <c r="I40" s="20" t="str">
        <f aca="false">IF(AND(B40="",F40=""),"",IF(OR(A40="",B40="",C40="",F40="",NOT(IFERROR(OR(IFERROR(AND(LEN(SUBSTITUTE(SUBSTITUTE(SUBSTITUTE(SUBSTITUTE(E40,".",""),"-","")," ",""),"/",""))=11,SUBSTITUTE(SUBSTITUTE(SUBSTITUTE(SUBSTITUTE(E40,".",""),"-","")," ",""),"/","")&lt;&gt;REPT(LEFT(SUBSTITUTE(SUBSTITUTE(SUBSTITUTE(SUBSTITUTE(E40,".",""),"-","")," ",""),"/",""),1),11),VALUE(MID(SUBSTITUTE(SUBSTITUTE(SUBSTITUTE(SUBSTITUTE(E40,".",""),"-","")," ",""),"/",""),10,1))=IF(MOD(SUMPRODUCT(--MID(SUBSTITUTE(SUBSTITUTE(SUBSTITUTE(SUBSTITUTE(E40,".",""),"-","")," ",""),"/",""),{1,2,3,4,5,6,7,8,9},1),{10,9,8,7,6,5,4,3,2}),11)&lt;2,0,11-MOD(SUMPRODUCT(--MID(SUBSTITUTE(SUBSTITUTE(SUBSTITUTE(SUBSTITUTE(E40,".",""),"-","")," ",""),"/",""),{1,2,3,4,5,6,7,8,9},1),{10,9,8,7,6,5,4,3,2}),11)),VALUE(MID(SUBSTITUTE(SUBSTITUTE(SUBSTITUTE(SUBSTITUTE(E40,".",""),"-","")," ",""),"/",""),11,1))=IF(MOD(SUMPRODUCT(--MID(SUBSTITUTE(SUBSTITUTE(SUBSTITUTE(SUBSTITUTE(E40,".",""),"-","")," ",""),"/",""),{1,2,3,4,5,6,7,8,9,10},1),{11,10,9,8,7,6,5,4,3,2}),11)&lt;2,0,11-MOD(SUMPRODUCT(--MID(SUBSTITUTE(SUBSTITUTE(SUBSTITUTE(SUBSTITUTE(E40,".",""),"-","")," ",""),"/",""),{1,2,3,4,5,6,7,8,9,10},1),{11,10,9,8,7,6,5,4,3,2}),11))),FALSE()),AND(LEN(SUBSTITUTE(SUBSTITUTE(SUBSTITUTE(SUBSTITUTE(E40,".",""),"-","")," ",""),"/",""))=14,ISNUMBER(VALUE(SUBSTITUTE(SUBSTITUTE(SUBSTITUTE(SUBSTITUTE(E40,".",""),"-","")," ",""),"/",""))))),FALSE()))),"Revisar",IF(G40&lt;&gt;"Sim","Falta comprovante",IF(AND(B40="Educação",SUMIFS($F$6:$F$155,$B$6:$B$155,"Educação",$C$6:$C$155,C40)&gt;Parâmetros!$B$6),"Acima do limite","OK"))))</f>
        <v/>
      </c>
    </row>
    <row r="41" customFormat="false" ht="15" hidden="false" customHeight="false" outlineLevel="0" collapsed="false">
      <c r="A41" s="19"/>
      <c r="B41" s="18"/>
      <c r="C41" s="18"/>
      <c r="D41" s="18"/>
      <c r="E41" s="18"/>
      <c r="F41" s="22"/>
      <c r="G41" s="23"/>
      <c r="H41" s="18"/>
      <c r="I41" s="20" t="str">
        <f aca="false">IF(AND(B41="",F41=""),"",IF(OR(A41="",B41="",C41="",F41="",NOT(IFERROR(OR(IFERROR(AND(LEN(SUBSTITUTE(SUBSTITUTE(SUBSTITUTE(SUBSTITUTE(E41,".",""),"-","")," ",""),"/",""))=11,SUBSTITUTE(SUBSTITUTE(SUBSTITUTE(SUBSTITUTE(E41,".",""),"-","")," ",""),"/","")&lt;&gt;REPT(LEFT(SUBSTITUTE(SUBSTITUTE(SUBSTITUTE(SUBSTITUTE(E41,".",""),"-","")," ",""),"/",""),1),11),VALUE(MID(SUBSTITUTE(SUBSTITUTE(SUBSTITUTE(SUBSTITUTE(E41,".",""),"-","")," ",""),"/",""),10,1))=IF(MOD(SUMPRODUCT(--MID(SUBSTITUTE(SUBSTITUTE(SUBSTITUTE(SUBSTITUTE(E41,".",""),"-","")," ",""),"/",""),{1,2,3,4,5,6,7,8,9},1),{10,9,8,7,6,5,4,3,2}),11)&lt;2,0,11-MOD(SUMPRODUCT(--MID(SUBSTITUTE(SUBSTITUTE(SUBSTITUTE(SUBSTITUTE(E41,".",""),"-","")," ",""),"/",""),{1,2,3,4,5,6,7,8,9},1),{10,9,8,7,6,5,4,3,2}),11)),VALUE(MID(SUBSTITUTE(SUBSTITUTE(SUBSTITUTE(SUBSTITUTE(E41,".",""),"-","")," ",""),"/",""),11,1))=IF(MOD(SUMPRODUCT(--MID(SUBSTITUTE(SUBSTITUTE(SUBSTITUTE(SUBSTITUTE(E41,".",""),"-","")," ",""),"/",""),{1,2,3,4,5,6,7,8,9,10},1),{11,10,9,8,7,6,5,4,3,2}),11)&lt;2,0,11-MOD(SUMPRODUCT(--MID(SUBSTITUTE(SUBSTITUTE(SUBSTITUTE(SUBSTITUTE(E41,".",""),"-","")," ",""),"/",""),{1,2,3,4,5,6,7,8,9,10},1),{11,10,9,8,7,6,5,4,3,2}),11))),FALSE()),AND(LEN(SUBSTITUTE(SUBSTITUTE(SUBSTITUTE(SUBSTITUTE(E41,".",""),"-","")," ",""),"/",""))=14,ISNUMBER(VALUE(SUBSTITUTE(SUBSTITUTE(SUBSTITUTE(SUBSTITUTE(E41,".",""),"-","")," ",""),"/",""))))),FALSE()))),"Revisar",IF(G41&lt;&gt;"Sim","Falta comprovante",IF(AND(B41="Educação",SUMIFS($F$6:$F$155,$B$6:$B$155,"Educação",$C$6:$C$155,C41)&gt;Parâmetros!$B$6),"Acima do limite","OK"))))</f>
        <v/>
      </c>
    </row>
    <row r="42" customFormat="false" ht="15" hidden="false" customHeight="false" outlineLevel="0" collapsed="false">
      <c r="A42" s="19"/>
      <c r="B42" s="18"/>
      <c r="C42" s="18"/>
      <c r="D42" s="18"/>
      <c r="E42" s="18"/>
      <c r="F42" s="22"/>
      <c r="G42" s="23"/>
      <c r="H42" s="18"/>
      <c r="I42" s="20" t="str">
        <f aca="false">IF(AND(B42="",F42=""),"",IF(OR(A42="",B42="",C42="",F42="",NOT(IFERROR(OR(IFERROR(AND(LEN(SUBSTITUTE(SUBSTITUTE(SUBSTITUTE(SUBSTITUTE(E42,".",""),"-","")," ",""),"/",""))=11,SUBSTITUTE(SUBSTITUTE(SUBSTITUTE(SUBSTITUTE(E42,".",""),"-","")," ",""),"/","")&lt;&gt;REPT(LEFT(SUBSTITUTE(SUBSTITUTE(SUBSTITUTE(SUBSTITUTE(E42,".",""),"-","")," ",""),"/",""),1),11),VALUE(MID(SUBSTITUTE(SUBSTITUTE(SUBSTITUTE(SUBSTITUTE(E42,".",""),"-","")," ",""),"/",""),10,1))=IF(MOD(SUMPRODUCT(--MID(SUBSTITUTE(SUBSTITUTE(SUBSTITUTE(SUBSTITUTE(E42,".",""),"-","")," ",""),"/",""),{1,2,3,4,5,6,7,8,9},1),{10,9,8,7,6,5,4,3,2}),11)&lt;2,0,11-MOD(SUMPRODUCT(--MID(SUBSTITUTE(SUBSTITUTE(SUBSTITUTE(SUBSTITUTE(E42,".",""),"-","")," ",""),"/",""),{1,2,3,4,5,6,7,8,9},1),{10,9,8,7,6,5,4,3,2}),11)),VALUE(MID(SUBSTITUTE(SUBSTITUTE(SUBSTITUTE(SUBSTITUTE(E42,".",""),"-","")," ",""),"/",""),11,1))=IF(MOD(SUMPRODUCT(--MID(SUBSTITUTE(SUBSTITUTE(SUBSTITUTE(SUBSTITUTE(E42,".",""),"-","")," ",""),"/",""),{1,2,3,4,5,6,7,8,9,10},1),{11,10,9,8,7,6,5,4,3,2}),11)&lt;2,0,11-MOD(SUMPRODUCT(--MID(SUBSTITUTE(SUBSTITUTE(SUBSTITUTE(SUBSTITUTE(E42,".",""),"-","")," ",""),"/",""),{1,2,3,4,5,6,7,8,9,10},1),{11,10,9,8,7,6,5,4,3,2}),11))),FALSE()),AND(LEN(SUBSTITUTE(SUBSTITUTE(SUBSTITUTE(SUBSTITUTE(E42,".",""),"-","")," ",""),"/",""))=14,ISNUMBER(VALUE(SUBSTITUTE(SUBSTITUTE(SUBSTITUTE(SUBSTITUTE(E42,".",""),"-","")," ",""),"/",""))))),FALSE()))),"Revisar",IF(G42&lt;&gt;"Sim","Falta comprovante",IF(AND(B42="Educação",SUMIFS($F$6:$F$155,$B$6:$B$155,"Educação",$C$6:$C$155,C42)&gt;Parâmetros!$B$6),"Acima do limite","OK"))))</f>
        <v/>
      </c>
    </row>
    <row r="43" customFormat="false" ht="15" hidden="false" customHeight="false" outlineLevel="0" collapsed="false">
      <c r="A43" s="19"/>
      <c r="B43" s="18"/>
      <c r="C43" s="18"/>
      <c r="D43" s="18"/>
      <c r="E43" s="18"/>
      <c r="F43" s="22"/>
      <c r="G43" s="23"/>
      <c r="H43" s="18"/>
      <c r="I43" s="20" t="str">
        <f aca="false">IF(AND(B43="",F43=""),"",IF(OR(A43="",B43="",C43="",F43="",NOT(IFERROR(OR(IFERROR(AND(LEN(SUBSTITUTE(SUBSTITUTE(SUBSTITUTE(SUBSTITUTE(E43,".",""),"-","")," ",""),"/",""))=11,SUBSTITUTE(SUBSTITUTE(SUBSTITUTE(SUBSTITUTE(E43,".",""),"-","")," ",""),"/","")&lt;&gt;REPT(LEFT(SUBSTITUTE(SUBSTITUTE(SUBSTITUTE(SUBSTITUTE(E43,".",""),"-","")," ",""),"/",""),1),11),VALUE(MID(SUBSTITUTE(SUBSTITUTE(SUBSTITUTE(SUBSTITUTE(E43,".",""),"-","")," ",""),"/",""),10,1))=IF(MOD(SUMPRODUCT(--MID(SUBSTITUTE(SUBSTITUTE(SUBSTITUTE(SUBSTITUTE(E43,".",""),"-","")," ",""),"/",""),{1,2,3,4,5,6,7,8,9},1),{10,9,8,7,6,5,4,3,2}),11)&lt;2,0,11-MOD(SUMPRODUCT(--MID(SUBSTITUTE(SUBSTITUTE(SUBSTITUTE(SUBSTITUTE(E43,".",""),"-","")," ",""),"/",""),{1,2,3,4,5,6,7,8,9},1),{10,9,8,7,6,5,4,3,2}),11)),VALUE(MID(SUBSTITUTE(SUBSTITUTE(SUBSTITUTE(SUBSTITUTE(E43,".",""),"-","")," ",""),"/",""),11,1))=IF(MOD(SUMPRODUCT(--MID(SUBSTITUTE(SUBSTITUTE(SUBSTITUTE(SUBSTITUTE(E43,".",""),"-","")," ",""),"/",""),{1,2,3,4,5,6,7,8,9,10},1),{11,10,9,8,7,6,5,4,3,2}),11)&lt;2,0,11-MOD(SUMPRODUCT(--MID(SUBSTITUTE(SUBSTITUTE(SUBSTITUTE(SUBSTITUTE(E43,".",""),"-","")," ",""),"/",""),{1,2,3,4,5,6,7,8,9,10},1),{11,10,9,8,7,6,5,4,3,2}),11))),FALSE()),AND(LEN(SUBSTITUTE(SUBSTITUTE(SUBSTITUTE(SUBSTITUTE(E43,".",""),"-","")," ",""),"/",""))=14,ISNUMBER(VALUE(SUBSTITUTE(SUBSTITUTE(SUBSTITUTE(SUBSTITUTE(E43,".",""),"-","")," ",""),"/",""))))),FALSE()))),"Revisar",IF(G43&lt;&gt;"Sim","Falta comprovante",IF(AND(B43="Educação",SUMIFS($F$6:$F$155,$B$6:$B$155,"Educação",$C$6:$C$155,C43)&gt;Parâmetros!$B$6),"Acima do limite","OK"))))</f>
        <v/>
      </c>
    </row>
    <row r="44" customFormat="false" ht="15" hidden="false" customHeight="false" outlineLevel="0" collapsed="false">
      <c r="A44" s="19"/>
      <c r="B44" s="18"/>
      <c r="C44" s="18"/>
      <c r="D44" s="18"/>
      <c r="E44" s="18"/>
      <c r="F44" s="22"/>
      <c r="G44" s="23"/>
      <c r="H44" s="18"/>
      <c r="I44" s="20" t="str">
        <f aca="false">IF(AND(B44="",F44=""),"",IF(OR(A44="",B44="",C44="",F44="",NOT(IFERROR(OR(IFERROR(AND(LEN(SUBSTITUTE(SUBSTITUTE(SUBSTITUTE(SUBSTITUTE(E44,".",""),"-","")," ",""),"/",""))=11,SUBSTITUTE(SUBSTITUTE(SUBSTITUTE(SUBSTITUTE(E44,".",""),"-","")," ",""),"/","")&lt;&gt;REPT(LEFT(SUBSTITUTE(SUBSTITUTE(SUBSTITUTE(SUBSTITUTE(E44,".",""),"-","")," ",""),"/",""),1),11),VALUE(MID(SUBSTITUTE(SUBSTITUTE(SUBSTITUTE(SUBSTITUTE(E44,".",""),"-","")," ",""),"/",""),10,1))=IF(MOD(SUMPRODUCT(--MID(SUBSTITUTE(SUBSTITUTE(SUBSTITUTE(SUBSTITUTE(E44,".",""),"-","")," ",""),"/",""),{1,2,3,4,5,6,7,8,9},1),{10,9,8,7,6,5,4,3,2}),11)&lt;2,0,11-MOD(SUMPRODUCT(--MID(SUBSTITUTE(SUBSTITUTE(SUBSTITUTE(SUBSTITUTE(E44,".",""),"-","")," ",""),"/",""),{1,2,3,4,5,6,7,8,9},1),{10,9,8,7,6,5,4,3,2}),11)),VALUE(MID(SUBSTITUTE(SUBSTITUTE(SUBSTITUTE(SUBSTITUTE(E44,".",""),"-","")," ",""),"/",""),11,1))=IF(MOD(SUMPRODUCT(--MID(SUBSTITUTE(SUBSTITUTE(SUBSTITUTE(SUBSTITUTE(E44,".",""),"-","")," ",""),"/",""),{1,2,3,4,5,6,7,8,9,10},1),{11,10,9,8,7,6,5,4,3,2}),11)&lt;2,0,11-MOD(SUMPRODUCT(--MID(SUBSTITUTE(SUBSTITUTE(SUBSTITUTE(SUBSTITUTE(E44,".",""),"-","")," ",""),"/",""),{1,2,3,4,5,6,7,8,9,10},1),{11,10,9,8,7,6,5,4,3,2}),11))),FALSE()),AND(LEN(SUBSTITUTE(SUBSTITUTE(SUBSTITUTE(SUBSTITUTE(E44,".",""),"-","")," ",""),"/",""))=14,ISNUMBER(VALUE(SUBSTITUTE(SUBSTITUTE(SUBSTITUTE(SUBSTITUTE(E44,".",""),"-","")," ",""),"/",""))))),FALSE()))),"Revisar",IF(G44&lt;&gt;"Sim","Falta comprovante",IF(AND(B44="Educação",SUMIFS($F$6:$F$155,$B$6:$B$155,"Educação",$C$6:$C$155,C44)&gt;Parâmetros!$B$6),"Acima do limite","OK"))))</f>
        <v/>
      </c>
    </row>
    <row r="45" customFormat="false" ht="15" hidden="false" customHeight="false" outlineLevel="0" collapsed="false">
      <c r="A45" s="19"/>
      <c r="B45" s="18"/>
      <c r="C45" s="18"/>
      <c r="D45" s="18"/>
      <c r="E45" s="18"/>
      <c r="F45" s="22"/>
      <c r="G45" s="23"/>
      <c r="H45" s="18"/>
      <c r="I45" s="20" t="str">
        <f aca="false">IF(AND(B45="",F45=""),"",IF(OR(A45="",B45="",C45="",F45="",NOT(IFERROR(OR(IFERROR(AND(LEN(SUBSTITUTE(SUBSTITUTE(SUBSTITUTE(SUBSTITUTE(E45,".",""),"-","")," ",""),"/",""))=11,SUBSTITUTE(SUBSTITUTE(SUBSTITUTE(SUBSTITUTE(E45,".",""),"-","")," ",""),"/","")&lt;&gt;REPT(LEFT(SUBSTITUTE(SUBSTITUTE(SUBSTITUTE(SUBSTITUTE(E45,".",""),"-","")," ",""),"/",""),1),11),VALUE(MID(SUBSTITUTE(SUBSTITUTE(SUBSTITUTE(SUBSTITUTE(E45,".",""),"-","")," ",""),"/",""),10,1))=IF(MOD(SUMPRODUCT(--MID(SUBSTITUTE(SUBSTITUTE(SUBSTITUTE(SUBSTITUTE(E45,".",""),"-","")," ",""),"/",""),{1,2,3,4,5,6,7,8,9},1),{10,9,8,7,6,5,4,3,2}),11)&lt;2,0,11-MOD(SUMPRODUCT(--MID(SUBSTITUTE(SUBSTITUTE(SUBSTITUTE(SUBSTITUTE(E45,".",""),"-","")," ",""),"/",""),{1,2,3,4,5,6,7,8,9},1),{10,9,8,7,6,5,4,3,2}),11)),VALUE(MID(SUBSTITUTE(SUBSTITUTE(SUBSTITUTE(SUBSTITUTE(E45,".",""),"-","")," ",""),"/",""),11,1))=IF(MOD(SUMPRODUCT(--MID(SUBSTITUTE(SUBSTITUTE(SUBSTITUTE(SUBSTITUTE(E45,".",""),"-","")," ",""),"/",""),{1,2,3,4,5,6,7,8,9,10},1),{11,10,9,8,7,6,5,4,3,2}),11)&lt;2,0,11-MOD(SUMPRODUCT(--MID(SUBSTITUTE(SUBSTITUTE(SUBSTITUTE(SUBSTITUTE(E45,".",""),"-","")," ",""),"/",""),{1,2,3,4,5,6,7,8,9,10},1),{11,10,9,8,7,6,5,4,3,2}),11))),FALSE()),AND(LEN(SUBSTITUTE(SUBSTITUTE(SUBSTITUTE(SUBSTITUTE(E45,".",""),"-","")," ",""),"/",""))=14,ISNUMBER(VALUE(SUBSTITUTE(SUBSTITUTE(SUBSTITUTE(SUBSTITUTE(E45,".",""),"-","")," ",""),"/",""))))),FALSE()))),"Revisar",IF(G45&lt;&gt;"Sim","Falta comprovante",IF(AND(B45="Educação",SUMIFS($F$6:$F$155,$B$6:$B$155,"Educação",$C$6:$C$155,C45)&gt;Parâmetros!$B$6),"Acima do limite","OK"))))</f>
        <v/>
      </c>
    </row>
    <row r="46" customFormat="false" ht="15" hidden="false" customHeight="false" outlineLevel="0" collapsed="false">
      <c r="A46" s="19"/>
      <c r="B46" s="18"/>
      <c r="C46" s="18"/>
      <c r="D46" s="18"/>
      <c r="E46" s="18"/>
      <c r="F46" s="22"/>
      <c r="G46" s="23"/>
      <c r="H46" s="18"/>
      <c r="I46" s="20" t="str">
        <f aca="false">IF(AND(B46="",F46=""),"",IF(OR(A46="",B46="",C46="",F46="",NOT(IFERROR(OR(IFERROR(AND(LEN(SUBSTITUTE(SUBSTITUTE(SUBSTITUTE(SUBSTITUTE(E46,".",""),"-","")," ",""),"/",""))=11,SUBSTITUTE(SUBSTITUTE(SUBSTITUTE(SUBSTITUTE(E46,".",""),"-","")," ",""),"/","")&lt;&gt;REPT(LEFT(SUBSTITUTE(SUBSTITUTE(SUBSTITUTE(SUBSTITUTE(E46,".",""),"-","")," ",""),"/",""),1),11),VALUE(MID(SUBSTITUTE(SUBSTITUTE(SUBSTITUTE(SUBSTITUTE(E46,".",""),"-","")," ",""),"/",""),10,1))=IF(MOD(SUMPRODUCT(--MID(SUBSTITUTE(SUBSTITUTE(SUBSTITUTE(SUBSTITUTE(E46,".",""),"-","")," ",""),"/",""),{1,2,3,4,5,6,7,8,9},1),{10,9,8,7,6,5,4,3,2}),11)&lt;2,0,11-MOD(SUMPRODUCT(--MID(SUBSTITUTE(SUBSTITUTE(SUBSTITUTE(SUBSTITUTE(E46,".",""),"-","")," ",""),"/",""),{1,2,3,4,5,6,7,8,9},1),{10,9,8,7,6,5,4,3,2}),11)),VALUE(MID(SUBSTITUTE(SUBSTITUTE(SUBSTITUTE(SUBSTITUTE(E46,".",""),"-","")," ",""),"/",""),11,1))=IF(MOD(SUMPRODUCT(--MID(SUBSTITUTE(SUBSTITUTE(SUBSTITUTE(SUBSTITUTE(E46,".",""),"-","")," ",""),"/",""),{1,2,3,4,5,6,7,8,9,10},1),{11,10,9,8,7,6,5,4,3,2}),11)&lt;2,0,11-MOD(SUMPRODUCT(--MID(SUBSTITUTE(SUBSTITUTE(SUBSTITUTE(SUBSTITUTE(E46,".",""),"-","")," ",""),"/",""),{1,2,3,4,5,6,7,8,9,10},1),{11,10,9,8,7,6,5,4,3,2}),11))),FALSE()),AND(LEN(SUBSTITUTE(SUBSTITUTE(SUBSTITUTE(SUBSTITUTE(E46,".",""),"-","")," ",""),"/",""))=14,ISNUMBER(VALUE(SUBSTITUTE(SUBSTITUTE(SUBSTITUTE(SUBSTITUTE(E46,".",""),"-","")," ",""),"/",""))))),FALSE()))),"Revisar",IF(G46&lt;&gt;"Sim","Falta comprovante",IF(AND(B46="Educação",SUMIFS($F$6:$F$155,$B$6:$B$155,"Educação",$C$6:$C$155,C46)&gt;Parâmetros!$B$6),"Acima do limite","OK"))))</f>
        <v/>
      </c>
    </row>
    <row r="47" customFormat="false" ht="15" hidden="false" customHeight="false" outlineLevel="0" collapsed="false">
      <c r="A47" s="19"/>
      <c r="B47" s="18"/>
      <c r="C47" s="18"/>
      <c r="D47" s="18"/>
      <c r="E47" s="18"/>
      <c r="F47" s="22"/>
      <c r="G47" s="23"/>
      <c r="H47" s="18"/>
      <c r="I47" s="20" t="str">
        <f aca="false">IF(AND(B47="",F47=""),"",IF(OR(A47="",B47="",C47="",F47="",NOT(IFERROR(OR(IFERROR(AND(LEN(SUBSTITUTE(SUBSTITUTE(SUBSTITUTE(SUBSTITUTE(E47,".",""),"-","")," ",""),"/",""))=11,SUBSTITUTE(SUBSTITUTE(SUBSTITUTE(SUBSTITUTE(E47,".",""),"-","")," ",""),"/","")&lt;&gt;REPT(LEFT(SUBSTITUTE(SUBSTITUTE(SUBSTITUTE(SUBSTITUTE(E47,".",""),"-","")," ",""),"/",""),1),11),VALUE(MID(SUBSTITUTE(SUBSTITUTE(SUBSTITUTE(SUBSTITUTE(E47,".",""),"-","")," ",""),"/",""),10,1))=IF(MOD(SUMPRODUCT(--MID(SUBSTITUTE(SUBSTITUTE(SUBSTITUTE(SUBSTITUTE(E47,".",""),"-","")," ",""),"/",""),{1,2,3,4,5,6,7,8,9},1),{10,9,8,7,6,5,4,3,2}),11)&lt;2,0,11-MOD(SUMPRODUCT(--MID(SUBSTITUTE(SUBSTITUTE(SUBSTITUTE(SUBSTITUTE(E47,".",""),"-","")," ",""),"/",""),{1,2,3,4,5,6,7,8,9},1),{10,9,8,7,6,5,4,3,2}),11)),VALUE(MID(SUBSTITUTE(SUBSTITUTE(SUBSTITUTE(SUBSTITUTE(E47,".",""),"-","")," ",""),"/",""),11,1))=IF(MOD(SUMPRODUCT(--MID(SUBSTITUTE(SUBSTITUTE(SUBSTITUTE(SUBSTITUTE(E47,".",""),"-","")," ",""),"/",""),{1,2,3,4,5,6,7,8,9,10},1),{11,10,9,8,7,6,5,4,3,2}),11)&lt;2,0,11-MOD(SUMPRODUCT(--MID(SUBSTITUTE(SUBSTITUTE(SUBSTITUTE(SUBSTITUTE(E47,".",""),"-","")," ",""),"/",""),{1,2,3,4,5,6,7,8,9,10},1),{11,10,9,8,7,6,5,4,3,2}),11))),FALSE()),AND(LEN(SUBSTITUTE(SUBSTITUTE(SUBSTITUTE(SUBSTITUTE(E47,".",""),"-","")," ",""),"/",""))=14,ISNUMBER(VALUE(SUBSTITUTE(SUBSTITUTE(SUBSTITUTE(SUBSTITUTE(E47,".",""),"-","")," ",""),"/",""))))),FALSE()))),"Revisar",IF(G47&lt;&gt;"Sim","Falta comprovante",IF(AND(B47="Educação",SUMIFS($F$6:$F$155,$B$6:$B$155,"Educação",$C$6:$C$155,C47)&gt;Parâmetros!$B$6),"Acima do limite","OK"))))</f>
        <v/>
      </c>
    </row>
    <row r="48" customFormat="false" ht="15" hidden="false" customHeight="false" outlineLevel="0" collapsed="false">
      <c r="A48" s="19"/>
      <c r="B48" s="18"/>
      <c r="C48" s="18"/>
      <c r="D48" s="18"/>
      <c r="E48" s="18"/>
      <c r="F48" s="22"/>
      <c r="G48" s="23"/>
      <c r="H48" s="18"/>
      <c r="I48" s="20" t="str">
        <f aca="false">IF(AND(B48="",F48=""),"",IF(OR(A48="",B48="",C48="",F48="",NOT(IFERROR(OR(IFERROR(AND(LEN(SUBSTITUTE(SUBSTITUTE(SUBSTITUTE(SUBSTITUTE(E48,".",""),"-","")," ",""),"/",""))=11,SUBSTITUTE(SUBSTITUTE(SUBSTITUTE(SUBSTITUTE(E48,".",""),"-","")," ",""),"/","")&lt;&gt;REPT(LEFT(SUBSTITUTE(SUBSTITUTE(SUBSTITUTE(SUBSTITUTE(E48,".",""),"-","")," ",""),"/",""),1),11),VALUE(MID(SUBSTITUTE(SUBSTITUTE(SUBSTITUTE(SUBSTITUTE(E48,".",""),"-","")," ",""),"/",""),10,1))=IF(MOD(SUMPRODUCT(--MID(SUBSTITUTE(SUBSTITUTE(SUBSTITUTE(SUBSTITUTE(E48,".",""),"-","")," ",""),"/",""),{1,2,3,4,5,6,7,8,9},1),{10,9,8,7,6,5,4,3,2}),11)&lt;2,0,11-MOD(SUMPRODUCT(--MID(SUBSTITUTE(SUBSTITUTE(SUBSTITUTE(SUBSTITUTE(E48,".",""),"-","")," ",""),"/",""),{1,2,3,4,5,6,7,8,9},1),{10,9,8,7,6,5,4,3,2}),11)),VALUE(MID(SUBSTITUTE(SUBSTITUTE(SUBSTITUTE(SUBSTITUTE(E48,".",""),"-","")," ",""),"/",""),11,1))=IF(MOD(SUMPRODUCT(--MID(SUBSTITUTE(SUBSTITUTE(SUBSTITUTE(SUBSTITUTE(E48,".",""),"-","")," ",""),"/",""),{1,2,3,4,5,6,7,8,9,10},1),{11,10,9,8,7,6,5,4,3,2}),11)&lt;2,0,11-MOD(SUMPRODUCT(--MID(SUBSTITUTE(SUBSTITUTE(SUBSTITUTE(SUBSTITUTE(E48,".",""),"-","")," ",""),"/",""),{1,2,3,4,5,6,7,8,9,10},1),{11,10,9,8,7,6,5,4,3,2}),11))),FALSE()),AND(LEN(SUBSTITUTE(SUBSTITUTE(SUBSTITUTE(SUBSTITUTE(E48,".",""),"-","")," ",""),"/",""))=14,ISNUMBER(VALUE(SUBSTITUTE(SUBSTITUTE(SUBSTITUTE(SUBSTITUTE(E48,".",""),"-","")," ",""),"/",""))))),FALSE()))),"Revisar",IF(G48&lt;&gt;"Sim","Falta comprovante",IF(AND(B48="Educação",SUMIFS($F$6:$F$155,$B$6:$B$155,"Educação",$C$6:$C$155,C48)&gt;Parâmetros!$B$6),"Acima do limite","OK"))))</f>
        <v/>
      </c>
    </row>
    <row r="49" customFormat="false" ht="15" hidden="false" customHeight="false" outlineLevel="0" collapsed="false">
      <c r="A49" s="19"/>
      <c r="B49" s="18"/>
      <c r="C49" s="18"/>
      <c r="D49" s="18"/>
      <c r="E49" s="18"/>
      <c r="F49" s="22"/>
      <c r="G49" s="23"/>
      <c r="H49" s="18"/>
      <c r="I49" s="20" t="str">
        <f aca="false">IF(AND(B49="",F49=""),"",IF(OR(A49="",B49="",C49="",F49="",NOT(IFERROR(OR(IFERROR(AND(LEN(SUBSTITUTE(SUBSTITUTE(SUBSTITUTE(SUBSTITUTE(E49,".",""),"-","")," ",""),"/",""))=11,SUBSTITUTE(SUBSTITUTE(SUBSTITUTE(SUBSTITUTE(E49,".",""),"-","")," ",""),"/","")&lt;&gt;REPT(LEFT(SUBSTITUTE(SUBSTITUTE(SUBSTITUTE(SUBSTITUTE(E49,".",""),"-","")," ",""),"/",""),1),11),VALUE(MID(SUBSTITUTE(SUBSTITUTE(SUBSTITUTE(SUBSTITUTE(E49,".",""),"-","")," ",""),"/",""),10,1))=IF(MOD(SUMPRODUCT(--MID(SUBSTITUTE(SUBSTITUTE(SUBSTITUTE(SUBSTITUTE(E49,".",""),"-","")," ",""),"/",""),{1,2,3,4,5,6,7,8,9},1),{10,9,8,7,6,5,4,3,2}),11)&lt;2,0,11-MOD(SUMPRODUCT(--MID(SUBSTITUTE(SUBSTITUTE(SUBSTITUTE(SUBSTITUTE(E49,".",""),"-","")," ",""),"/",""),{1,2,3,4,5,6,7,8,9},1),{10,9,8,7,6,5,4,3,2}),11)),VALUE(MID(SUBSTITUTE(SUBSTITUTE(SUBSTITUTE(SUBSTITUTE(E49,".",""),"-","")," ",""),"/",""),11,1))=IF(MOD(SUMPRODUCT(--MID(SUBSTITUTE(SUBSTITUTE(SUBSTITUTE(SUBSTITUTE(E49,".",""),"-","")," ",""),"/",""),{1,2,3,4,5,6,7,8,9,10},1),{11,10,9,8,7,6,5,4,3,2}),11)&lt;2,0,11-MOD(SUMPRODUCT(--MID(SUBSTITUTE(SUBSTITUTE(SUBSTITUTE(SUBSTITUTE(E49,".",""),"-","")," ",""),"/",""),{1,2,3,4,5,6,7,8,9,10},1),{11,10,9,8,7,6,5,4,3,2}),11))),FALSE()),AND(LEN(SUBSTITUTE(SUBSTITUTE(SUBSTITUTE(SUBSTITUTE(E49,".",""),"-","")," ",""),"/",""))=14,ISNUMBER(VALUE(SUBSTITUTE(SUBSTITUTE(SUBSTITUTE(SUBSTITUTE(E49,".",""),"-","")," ",""),"/",""))))),FALSE()))),"Revisar",IF(G49&lt;&gt;"Sim","Falta comprovante",IF(AND(B49="Educação",SUMIFS($F$6:$F$155,$B$6:$B$155,"Educação",$C$6:$C$155,C49)&gt;Parâmetros!$B$6),"Acima do limite","OK"))))</f>
        <v/>
      </c>
    </row>
    <row r="50" customFormat="false" ht="15" hidden="false" customHeight="false" outlineLevel="0" collapsed="false">
      <c r="A50" s="19"/>
      <c r="B50" s="18"/>
      <c r="C50" s="18"/>
      <c r="D50" s="18"/>
      <c r="E50" s="18"/>
      <c r="F50" s="22"/>
      <c r="G50" s="23"/>
      <c r="H50" s="18"/>
      <c r="I50" s="20" t="str">
        <f aca="false">IF(AND(B50="",F50=""),"",IF(OR(A50="",B50="",C50="",F50="",NOT(IFERROR(OR(IFERROR(AND(LEN(SUBSTITUTE(SUBSTITUTE(SUBSTITUTE(SUBSTITUTE(E50,".",""),"-","")," ",""),"/",""))=11,SUBSTITUTE(SUBSTITUTE(SUBSTITUTE(SUBSTITUTE(E50,".",""),"-","")," ",""),"/","")&lt;&gt;REPT(LEFT(SUBSTITUTE(SUBSTITUTE(SUBSTITUTE(SUBSTITUTE(E50,".",""),"-","")," ",""),"/",""),1),11),VALUE(MID(SUBSTITUTE(SUBSTITUTE(SUBSTITUTE(SUBSTITUTE(E50,".",""),"-","")," ",""),"/",""),10,1))=IF(MOD(SUMPRODUCT(--MID(SUBSTITUTE(SUBSTITUTE(SUBSTITUTE(SUBSTITUTE(E50,".",""),"-","")," ",""),"/",""),{1,2,3,4,5,6,7,8,9},1),{10,9,8,7,6,5,4,3,2}),11)&lt;2,0,11-MOD(SUMPRODUCT(--MID(SUBSTITUTE(SUBSTITUTE(SUBSTITUTE(SUBSTITUTE(E50,".",""),"-","")," ",""),"/",""),{1,2,3,4,5,6,7,8,9},1),{10,9,8,7,6,5,4,3,2}),11)),VALUE(MID(SUBSTITUTE(SUBSTITUTE(SUBSTITUTE(SUBSTITUTE(E50,".",""),"-","")," ",""),"/",""),11,1))=IF(MOD(SUMPRODUCT(--MID(SUBSTITUTE(SUBSTITUTE(SUBSTITUTE(SUBSTITUTE(E50,".",""),"-","")," ",""),"/",""),{1,2,3,4,5,6,7,8,9,10},1),{11,10,9,8,7,6,5,4,3,2}),11)&lt;2,0,11-MOD(SUMPRODUCT(--MID(SUBSTITUTE(SUBSTITUTE(SUBSTITUTE(SUBSTITUTE(E50,".",""),"-","")," ",""),"/",""),{1,2,3,4,5,6,7,8,9,10},1),{11,10,9,8,7,6,5,4,3,2}),11))),FALSE()),AND(LEN(SUBSTITUTE(SUBSTITUTE(SUBSTITUTE(SUBSTITUTE(E50,".",""),"-","")," ",""),"/",""))=14,ISNUMBER(VALUE(SUBSTITUTE(SUBSTITUTE(SUBSTITUTE(SUBSTITUTE(E50,".",""),"-","")," ",""),"/",""))))),FALSE()))),"Revisar",IF(G50&lt;&gt;"Sim","Falta comprovante",IF(AND(B50="Educação",SUMIFS($F$6:$F$155,$B$6:$B$155,"Educação",$C$6:$C$155,C50)&gt;Parâmetros!$B$6),"Acima do limite","OK"))))</f>
        <v/>
      </c>
    </row>
    <row r="51" customFormat="false" ht="15" hidden="false" customHeight="false" outlineLevel="0" collapsed="false">
      <c r="A51" s="19"/>
      <c r="B51" s="18"/>
      <c r="C51" s="18"/>
      <c r="D51" s="18"/>
      <c r="E51" s="18"/>
      <c r="F51" s="22"/>
      <c r="G51" s="23"/>
      <c r="H51" s="18"/>
      <c r="I51" s="20" t="str">
        <f aca="false">IF(AND(B51="",F51=""),"",IF(OR(A51="",B51="",C51="",F51="",NOT(IFERROR(OR(IFERROR(AND(LEN(SUBSTITUTE(SUBSTITUTE(SUBSTITUTE(SUBSTITUTE(E51,".",""),"-","")," ",""),"/",""))=11,SUBSTITUTE(SUBSTITUTE(SUBSTITUTE(SUBSTITUTE(E51,".",""),"-","")," ",""),"/","")&lt;&gt;REPT(LEFT(SUBSTITUTE(SUBSTITUTE(SUBSTITUTE(SUBSTITUTE(E51,".",""),"-","")," ",""),"/",""),1),11),VALUE(MID(SUBSTITUTE(SUBSTITUTE(SUBSTITUTE(SUBSTITUTE(E51,".",""),"-","")," ",""),"/",""),10,1))=IF(MOD(SUMPRODUCT(--MID(SUBSTITUTE(SUBSTITUTE(SUBSTITUTE(SUBSTITUTE(E51,".",""),"-","")," ",""),"/",""),{1,2,3,4,5,6,7,8,9},1),{10,9,8,7,6,5,4,3,2}),11)&lt;2,0,11-MOD(SUMPRODUCT(--MID(SUBSTITUTE(SUBSTITUTE(SUBSTITUTE(SUBSTITUTE(E51,".",""),"-","")," ",""),"/",""),{1,2,3,4,5,6,7,8,9},1),{10,9,8,7,6,5,4,3,2}),11)),VALUE(MID(SUBSTITUTE(SUBSTITUTE(SUBSTITUTE(SUBSTITUTE(E51,".",""),"-","")," ",""),"/",""),11,1))=IF(MOD(SUMPRODUCT(--MID(SUBSTITUTE(SUBSTITUTE(SUBSTITUTE(SUBSTITUTE(E51,".",""),"-","")," ",""),"/",""),{1,2,3,4,5,6,7,8,9,10},1),{11,10,9,8,7,6,5,4,3,2}),11)&lt;2,0,11-MOD(SUMPRODUCT(--MID(SUBSTITUTE(SUBSTITUTE(SUBSTITUTE(SUBSTITUTE(E51,".",""),"-","")," ",""),"/",""),{1,2,3,4,5,6,7,8,9,10},1),{11,10,9,8,7,6,5,4,3,2}),11))),FALSE()),AND(LEN(SUBSTITUTE(SUBSTITUTE(SUBSTITUTE(SUBSTITUTE(E51,".",""),"-","")," ",""),"/",""))=14,ISNUMBER(VALUE(SUBSTITUTE(SUBSTITUTE(SUBSTITUTE(SUBSTITUTE(E51,".",""),"-","")," ",""),"/",""))))),FALSE()))),"Revisar",IF(G51&lt;&gt;"Sim","Falta comprovante",IF(AND(B51="Educação",SUMIFS($F$6:$F$155,$B$6:$B$155,"Educação",$C$6:$C$155,C51)&gt;Parâmetros!$B$6),"Acima do limite","OK"))))</f>
        <v/>
      </c>
    </row>
    <row r="52" customFormat="false" ht="15" hidden="false" customHeight="false" outlineLevel="0" collapsed="false">
      <c r="A52" s="19"/>
      <c r="B52" s="18"/>
      <c r="C52" s="18"/>
      <c r="D52" s="18"/>
      <c r="E52" s="18"/>
      <c r="F52" s="22"/>
      <c r="G52" s="23"/>
      <c r="H52" s="18"/>
      <c r="I52" s="20" t="str">
        <f aca="false">IF(AND(B52="",F52=""),"",IF(OR(A52="",B52="",C52="",F52="",NOT(IFERROR(OR(IFERROR(AND(LEN(SUBSTITUTE(SUBSTITUTE(SUBSTITUTE(SUBSTITUTE(E52,".",""),"-","")," ",""),"/",""))=11,SUBSTITUTE(SUBSTITUTE(SUBSTITUTE(SUBSTITUTE(E52,".",""),"-","")," ",""),"/","")&lt;&gt;REPT(LEFT(SUBSTITUTE(SUBSTITUTE(SUBSTITUTE(SUBSTITUTE(E52,".",""),"-","")," ",""),"/",""),1),11),VALUE(MID(SUBSTITUTE(SUBSTITUTE(SUBSTITUTE(SUBSTITUTE(E52,".",""),"-","")," ",""),"/",""),10,1))=IF(MOD(SUMPRODUCT(--MID(SUBSTITUTE(SUBSTITUTE(SUBSTITUTE(SUBSTITUTE(E52,".",""),"-","")," ",""),"/",""),{1,2,3,4,5,6,7,8,9},1),{10,9,8,7,6,5,4,3,2}),11)&lt;2,0,11-MOD(SUMPRODUCT(--MID(SUBSTITUTE(SUBSTITUTE(SUBSTITUTE(SUBSTITUTE(E52,".",""),"-","")," ",""),"/",""),{1,2,3,4,5,6,7,8,9},1),{10,9,8,7,6,5,4,3,2}),11)),VALUE(MID(SUBSTITUTE(SUBSTITUTE(SUBSTITUTE(SUBSTITUTE(E52,".",""),"-","")," ",""),"/",""),11,1))=IF(MOD(SUMPRODUCT(--MID(SUBSTITUTE(SUBSTITUTE(SUBSTITUTE(SUBSTITUTE(E52,".",""),"-","")," ",""),"/",""),{1,2,3,4,5,6,7,8,9,10},1),{11,10,9,8,7,6,5,4,3,2}),11)&lt;2,0,11-MOD(SUMPRODUCT(--MID(SUBSTITUTE(SUBSTITUTE(SUBSTITUTE(SUBSTITUTE(E52,".",""),"-","")," ",""),"/",""),{1,2,3,4,5,6,7,8,9,10},1),{11,10,9,8,7,6,5,4,3,2}),11))),FALSE()),AND(LEN(SUBSTITUTE(SUBSTITUTE(SUBSTITUTE(SUBSTITUTE(E52,".",""),"-","")," ",""),"/",""))=14,ISNUMBER(VALUE(SUBSTITUTE(SUBSTITUTE(SUBSTITUTE(SUBSTITUTE(E52,".",""),"-","")," ",""),"/",""))))),FALSE()))),"Revisar",IF(G52&lt;&gt;"Sim","Falta comprovante",IF(AND(B52="Educação",SUMIFS($F$6:$F$155,$B$6:$B$155,"Educação",$C$6:$C$155,C52)&gt;Parâmetros!$B$6),"Acima do limite","OK"))))</f>
        <v/>
      </c>
    </row>
    <row r="53" customFormat="false" ht="15" hidden="false" customHeight="false" outlineLevel="0" collapsed="false">
      <c r="A53" s="19"/>
      <c r="B53" s="18"/>
      <c r="C53" s="18"/>
      <c r="D53" s="18"/>
      <c r="E53" s="18"/>
      <c r="F53" s="22"/>
      <c r="G53" s="23"/>
      <c r="H53" s="18"/>
      <c r="I53" s="20" t="str">
        <f aca="false">IF(AND(B53="",F53=""),"",IF(OR(A53="",B53="",C53="",F53="",NOT(IFERROR(OR(IFERROR(AND(LEN(SUBSTITUTE(SUBSTITUTE(SUBSTITUTE(SUBSTITUTE(E53,".",""),"-","")," ",""),"/",""))=11,SUBSTITUTE(SUBSTITUTE(SUBSTITUTE(SUBSTITUTE(E53,".",""),"-","")," ",""),"/","")&lt;&gt;REPT(LEFT(SUBSTITUTE(SUBSTITUTE(SUBSTITUTE(SUBSTITUTE(E53,".",""),"-","")," ",""),"/",""),1),11),VALUE(MID(SUBSTITUTE(SUBSTITUTE(SUBSTITUTE(SUBSTITUTE(E53,".",""),"-","")," ",""),"/",""),10,1))=IF(MOD(SUMPRODUCT(--MID(SUBSTITUTE(SUBSTITUTE(SUBSTITUTE(SUBSTITUTE(E53,".",""),"-","")," ",""),"/",""),{1,2,3,4,5,6,7,8,9},1),{10,9,8,7,6,5,4,3,2}),11)&lt;2,0,11-MOD(SUMPRODUCT(--MID(SUBSTITUTE(SUBSTITUTE(SUBSTITUTE(SUBSTITUTE(E53,".",""),"-","")," ",""),"/",""),{1,2,3,4,5,6,7,8,9},1),{10,9,8,7,6,5,4,3,2}),11)),VALUE(MID(SUBSTITUTE(SUBSTITUTE(SUBSTITUTE(SUBSTITUTE(E53,".",""),"-","")," ",""),"/",""),11,1))=IF(MOD(SUMPRODUCT(--MID(SUBSTITUTE(SUBSTITUTE(SUBSTITUTE(SUBSTITUTE(E53,".",""),"-","")," ",""),"/",""),{1,2,3,4,5,6,7,8,9,10},1),{11,10,9,8,7,6,5,4,3,2}),11)&lt;2,0,11-MOD(SUMPRODUCT(--MID(SUBSTITUTE(SUBSTITUTE(SUBSTITUTE(SUBSTITUTE(E53,".",""),"-","")," ",""),"/",""),{1,2,3,4,5,6,7,8,9,10},1),{11,10,9,8,7,6,5,4,3,2}),11))),FALSE()),AND(LEN(SUBSTITUTE(SUBSTITUTE(SUBSTITUTE(SUBSTITUTE(E53,".",""),"-","")," ",""),"/",""))=14,ISNUMBER(VALUE(SUBSTITUTE(SUBSTITUTE(SUBSTITUTE(SUBSTITUTE(E53,".",""),"-","")," ",""),"/",""))))),FALSE()))),"Revisar",IF(G53&lt;&gt;"Sim","Falta comprovante",IF(AND(B53="Educação",SUMIFS($F$6:$F$155,$B$6:$B$155,"Educação",$C$6:$C$155,C53)&gt;Parâmetros!$B$6),"Acima do limite","OK"))))</f>
        <v/>
      </c>
    </row>
    <row r="54" customFormat="false" ht="15" hidden="false" customHeight="false" outlineLevel="0" collapsed="false">
      <c r="A54" s="19"/>
      <c r="B54" s="18"/>
      <c r="C54" s="18"/>
      <c r="D54" s="18"/>
      <c r="E54" s="18"/>
      <c r="F54" s="22"/>
      <c r="G54" s="23"/>
      <c r="H54" s="18"/>
      <c r="I54" s="20" t="str">
        <f aca="false">IF(AND(B54="",F54=""),"",IF(OR(A54="",B54="",C54="",F54="",NOT(IFERROR(OR(IFERROR(AND(LEN(SUBSTITUTE(SUBSTITUTE(SUBSTITUTE(SUBSTITUTE(E54,".",""),"-","")," ",""),"/",""))=11,SUBSTITUTE(SUBSTITUTE(SUBSTITUTE(SUBSTITUTE(E54,".",""),"-","")," ",""),"/","")&lt;&gt;REPT(LEFT(SUBSTITUTE(SUBSTITUTE(SUBSTITUTE(SUBSTITUTE(E54,".",""),"-","")," ",""),"/",""),1),11),VALUE(MID(SUBSTITUTE(SUBSTITUTE(SUBSTITUTE(SUBSTITUTE(E54,".",""),"-","")," ",""),"/",""),10,1))=IF(MOD(SUMPRODUCT(--MID(SUBSTITUTE(SUBSTITUTE(SUBSTITUTE(SUBSTITUTE(E54,".",""),"-","")," ",""),"/",""),{1,2,3,4,5,6,7,8,9},1),{10,9,8,7,6,5,4,3,2}),11)&lt;2,0,11-MOD(SUMPRODUCT(--MID(SUBSTITUTE(SUBSTITUTE(SUBSTITUTE(SUBSTITUTE(E54,".",""),"-","")," ",""),"/",""),{1,2,3,4,5,6,7,8,9},1),{10,9,8,7,6,5,4,3,2}),11)),VALUE(MID(SUBSTITUTE(SUBSTITUTE(SUBSTITUTE(SUBSTITUTE(E54,".",""),"-","")," ",""),"/",""),11,1))=IF(MOD(SUMPRODUCT(--MID(SUBSTITUTE(SUBSTITUTE(SUBSTITUTE(SUBSTITUTE(E54,".",""),"-","")," ",""),"/",""),{1,2,3,4,5,6,7,8,9,10},1),{11,10,9,8,7,6,5,4,3,2}),11)&lt;2,0,11-MOD(SUMPRODUCT(--MID(SUBSTITUTE(SUBSTITUTE(SUBSTITUTE(SUBSTITUTE(E54,".",""),"-","")," ",""),"/",""),{1,2,3,4,5,6,7,8,9,10},1),{11,10,9,8,7,6,5,4,3,2}),11))),FALSE()),AND(LEN(SUBSTITUTE(SUBSTITUTE(SUBSTITUTE(SUBSTITUTE(E54,".",""),"-","")," ",""),"/",""))=14,ISNUMBER(VALUE(SUBSTITUTE(SUBSTITUTE(SUBSTITUTE(SUBSTITUTE(E54,".",""),"-","")," ",""),"/",""))))),FALSE()))),"Revisar",IF(G54&lt;&gt;"Sim","Falta comprovante",IF(AND(B54="Educação",SUMIFS($F$6:$F$155,$B$6:$B$155,"Educação",$C$6:$C$155,C54)&gt;Parâmetros!$B$6),"Acima do limite","OK"))))</f>
        <v/>
      </c>
    </row>
    <row r="55" customFormat="false" ht="15" hidden="false" customHeight="false" outlineLevel="0" collapsed="false">
      <c r="A55" s="19"/>
      <c r="B55" s="18"/>
      <c r="C55" s="18"/>
      <c r="D55" s="18"/>
      <c r="E55" s="18"/>
      <c r="F55" s="22"/>
      <c r="G55" s="23"/>
      <c r="H55" s="18"/>
      <c r="I55" s="20" t="str">
        <f aca="false">IF(AND(B55="",F55=""),"",IF(OR(A55="",B55="",C55="",F55="",NOT(IFERROR(OR(IFERROR(AND(LEN(SUBSTITUTE(SUBSTITUTE(SUBSTITUTE(SUBSTITUTE(E55,".",""),"-","")," ",""),"/",""))=11,SUBSTITUTE(SUBSTITUTE(SUBSTITUTE(SUBSTITUTE(E55,".",""),"-","")," ",""),"/","")&lt;&gt;REPT(LEFT(SUBSTITUTE(SUBSTITUTE(SUBSTITUTE(SUBSTITUTE(E55,".",""),"-","")," ",""),"/",""),1),11),VALUE(MID(SUBSTITUTE(SUBSTITUTE(SUBSTITUTE(SUBSTITUTE(E55,".",""),"-","")," ",""),"/",""),10,1))=IF(MOD(SUMPRODUCT(--MID(SUBSTITUTE(SUBSTITUTE(SUBSTITUTE(SUBSTITUTE(E55,".",""),"-","")," ",""),"/",""),{1,2,3,4,5,6,7,8,9},1),{10,9,8,7,6,5,4,3,2}),11)&lt;2,0,11-MOD(SUMPRODUCT(--MID(SUBSTITUTE(SUBSTITUTE(SUBSTITUTE(SUBSTITUTE(E55,".",""),"-","")," ",""),"/",""),{1,2,3,4,5,6,7,8,9},1),{10,9,8,7,6,5,4,3,2}),11)),VALUE(MID(SUBSTITUTE(SUBSTITUTE(SUBSTITUTE(SUBSTITUTE(E55,".",""),"-","")," ",""),"/",""),11,1))=IF(MOD(SUMPRODUCT(--MID(SUBSTITUTE(SUBSTITUTE(SUBSTITUTE(SUBSTITUTE(E55,".",""),"-","")," ",""),"/",""),{1,2,3,4,5,6,7,8,9,10},1),{11,10,9,8,7,6,5,4,3,2}),11)&lt;2,0,11-MOD(SUMPRODUCT(--MID(SUBSTITUTE(SUBSTITUTE(SUBSTITUTE(SUBSTITUTE(E55,".",""),"-","")," ",""),"/",""),{1,2,3,4,5,6,7,8,9,10},1),{11,10,9,8,7,6,5,4,3,2}),11))),FALSE()),AND(LEN(SUBSTITUTE(SUBSTITUTE(SUBSTITUTE(SUBSTITUTE(E55,".",""),"-","")," ",""),"/",""))=14,ISNUMBER(VALUE(SUBSTITUTE(SUBSTITUTE(SUBSTITUTE(SUBSTITUTE(E55,".",""),"-","")," ",""),"/",""))))),FALSE()))),"Revisar",IF(G55&lt;&gt;"Sim","Falta comprovante",IF(AND(B55="Educação",SUMIFS($F$6:$F$155,$B$6:$B$155,"Educação",$C$6:$C$155,C55)&gt;Parâmetros!$B$6),"Acima do limite","OK"))))</f>
        <v/>
      </c>
    </row>
    <row r="56" customFormat="false" ht="15" hidden="false" customHeight="false" outlineLevel="0" collapsed="false">
      <c r="A56" s="19"/>
      <c r="B56" s="18"/>
      <c r="C56" s="18"/>
      <c r="D56" s="18"/>
      <c r="E56" s="18"/>
      <c r="F56" s="22"/>
      <c r="G56" s="23"/>
      <c r="H56" s="18"/>
      <c r="I56" s="20" t="str">
        <f aca="false">IF(AND(B56="",F56=""),"",IF(OR(A56="",B56="",C56="",F56="",NOT(IFERROR(OR(IFERROR(AND(LEN(SUBSTITUTE(SUBSTITUTE(SUBSTITUTE(SUBSTITUTE(E56,".",""),"-","")," ",""),"/",""))=11,SUBSTITUTE(SUBSTITUTE(SUBSTITUTE(SUBSTITUTE(E56,".",""),"-","")," ",""),"/","")&lt;&gt;REPT(LEFT(SUBSTITUTE(SUBSTITUTE(SUBSTITUTE(SUBSTITUTE(E56,".",""),"-","")," ",""),"/",""),1),11),VALUE(MID(SUBSTITUTE(SUBSTITUTE(SUBSTITUTE(SUBSTITUTE(E56,".",""),"-","")," ",""),"/",""),10,1))=IF(MOD(SUMPRODUCT(--MID(SUBSTITUTE(SUBSTITUTE(SUBSTITUTE(SUBSTITUTE(E56,".",""),"-","")," ",""),"/",""),{1,2,3,4,5,6,7,8,9},1),{10,9,8,7,6,5,4,3,2}),11)&lt;2,0,11-MOD(SUMPRODUCT(--MID(SUBSTITUTE(SUBSTITUTE(SUBSTITUTE(SUBSTITUTE(E56,".",""),"-","")," ",""),"/",""),{1,2,3,4,5,6,7,8,9},1),{10,9,8,7,6,5,4,3,2}),11)),VALUE(MID(SUBSTITUTE(SUBSTITUTE(SUBSTITUTE(SUBSTITUTE(E56,".",""),"-","")," ",""),"/",""),11,1))=IF(MOD(SUMPRODUCT(--MID(SUBSTITUTE(SUBSTITUTE(SUBSTITUTE(SUBSTITUTE(E56,".",""),"-","")," ",""),"/",""),{1,2,3,4,5,6,7,8,9,10},1),{11,10,9,8,7,6,5,4,3,2}),11)&lt;2,0,11-MOD(SUMPRODUCT(--MID(SUBSTITUTE(SUBSTITUTE(SUBSTITUTE(SUBSTITUTE(E56,".",""),"-","")," ",""),"/",""),{1,2,3,4,5,6,7,8,9,10},1),{11,10,9,8,7,6,5,4,3,2}),11))),FALSE()),AND(LEN(SUBSTITUTE(SUBSTITUTE(SUBSTITUTE(SUBSTITUTE(E56,".",""),"-","")," ",""),"/",""))=14,ISNUMBER(VALUE(SUBSTITUTE(SUBSTITUTE(SUBSTITUTE(SUBSTITUTE(E56,".",""),"-","")," ",""),"/",""))))),FALSE()))),"Revisar",IF(G56&lt;&gt;"Sim","Falta comprovante",IF(AND(B56="Educação",SUMIFS($F$6:$F$155,$B$6:$B$155,"Educação",$C$6:$C$155,C56)&gt;Parâmetros!$B$6),"Acima do limite","OK"))))</f>
        <v/>
      </c>
    </row>
    <row r="57" customFormat="false" ht="15" hidden="false" customHeight="false" outlineLevel="0" collapsed="false">
      <c r="A57" s="19"/>
      <c r="B57" s="18"/>
      <c r="C57" s="18"/>
      <c r="D57" s="18"/>
      <c r="E57" s="18"/>
      <c r="F57" s="22"/>
      <c r="G57" s="23"/>
      <c r="H57" s="18"/>
      <c r="I57" s="20" t="str">
        <f aca="false">IF(AND(B57="",F57=""),"",IF(OR(A57="",B57="",C57="",F57="",NOT(IFERROR(OR(IFERROR(AND(LEN(SUBSTITUTE(SUBSTITUTE(SUBSTITUTE(SUBSTITUTE(E57,".",""),"-","")," ",""),"/",""))=11,SUBSTITUTE(SUBSTITUTE(SUBSTITUTE(SUBSTITUTE(E57,".",""),"-","")," ",""),"/","")&lt;&gt;REPT(LEFT(SUBSTITUTE(SUBSTITUTE(SUBSTITUTE(SUBSTITUTE(E57,".",""),"-","")," ",""),"/",""),1),11),VALUE(MID(SUBSTITUTE(SUBSTITUTE(SUBSTITUTE(SUBSTITUTE(E57,".",""),"-","")," ",""),"/",""),10,1))=IF(MOD(SUMPRODUCT(--MID(SUBSTITUTE(SUBSTITUTE(SUBSTITUTE(SUBSTITUTE(E57,".",""),"-","")," ",""),"/",""),{1,2,3,4,5,6,7,8,9},1),{10,9,8,7,6,5,4,3,2}),11)&lt;2,0,11-MOD(SUMPRODUCT(--MID(SUBSTITUTE(SUBSTITUTE(SUBSTITUTE(SUBSTITUTE(E57,".",""),"-","")," ",""),"/",""),{1,2,3,4,5,6,7,8,9},1),{10,9,8,7,6,5,4,3,2}),11)),VALUE(MID(SUBSTITUTE(SUBSTITUTE(SUBSTITUTE(SUBSTITUTE(E57,".",""),"-","")," ",""),"/",""),11,1))=IF(MOD(SUMPRODUCT(--MID(SUBSTITUTE(SUBSTITUTE(SUBSTITUTE(SUBSTITUTE(E57,".",""),"-","")," ",""),"/",""),{1,2,3,4,5,6,7,8,9,10},1),{11,10,9,8,7,6,5,4,3,2}),11)&lt;2,0,11-MOD(SUMPRODUCT(--MID(SUBSTITUTE(SUBSTITUTE(SUBSTITUTE(SUBSTITUTE(E57,".",""),"-","")," ",""),"/",""),{1,2,3,4,5,6,7,8,9,10},1),{11,10,9,8,7,6,5,4,3,2}),11))),FALSE()),AND(LEN(SUBSTITUTE(SUBSTITUTE(SUBSTITUTE(SUBSTITUTE(E57,".",""),"-","")," ",""),"/",""))=14,ISNUMBER(VALUE(SUBSTITUTE(SUBSTITUTE(SUBSTITUTE(SUBSTITUTE(E57,".",""),"-","")," ",""),"/",""))))),FALSE()))),"Revisar",IF(G57&lt;&gt;"Sim","Falta comprovante",IF(AND(B57="Educação",SUMIFS($F$6:$F$155,$B$6:$B$155,"Educação",$C$6:$C$155,C57)&gt;Parâmetros!$B$6),"Acima do limite","OK"))))</f>
        <v/>
      </c>
    </row>
    <row r="58" customFormat="false" ht="15" hidden="false" customHeight="false" outlineLevel="0" collapsed="false">
      <c r="A58" s="19"/>
      <c r="B58" s="18"/>
      <c r="C58" s="18"/>
      <c r="D58" s="18"/>
      <c r="E58" s="18"/>
      <c r="F58" s="22"/>
      <c r="G58" s="23"/>
      <c r="H58" s="18"/>
      <c r="I58" s="20" t="str">
        <f aca="false">IF(AND(B58="",F58=""),"",IF(OR(A58="",B58="",C58="",F58="",NOT(IFERROR(OR(IFERROR(AND(LEN(SUBSTITUTE(SUBSTITUTE(SUBSTITUTE(SUBSTITUTE(E58,".",""),"-","")," ",""),"/",""))=11,SUBSTITUTE(SUBSTITUTE(SUBSTITUTE(SUBSTITUTE(E58,".",""),"-","")," ",""),"/","")&lt;&gt;REPT(LEFT(SUBSTITUTE(SUBSTITUTE(SUBSTITUTE(SUBSTITUTE(E58,".",""),"-","")," ",""),"/",""),1),11),VALUE(MID(SUBSTITUTE(SUBSTITUTE(SUBSTITUTE(SUBSTITUTE(E58,".",""),"-","")," ",""),"/",""),10,1))=IF(MOD(SUMPRODUCT(--MID(SUBSTITUTE(SUBSTITUTE(SUBSTITUTE(SUBSTITUTE(E58,".",""),"-","")," ",""),"/",""),{1,2,3,4,5,6,7,8,9},1),{10,9,8,7,6,5,4,3,2}),11)&lt;2,0,11-MOD(SUMPRODUCT(--MID(SUBSTITUTE(SUBSTITUTE(SUBSTITUTE(SUBSTITUTE(E58,".",""),"-","")," ",""),"/",""),{1,2,3,4,5,6,7,8,9},1),{10,9,8,7,6,5,4,3,2}),11)),VALUE(MID(SUBSTITUTE(SUBSTITUTE(SUBSTITUTE(SUBSTITUTE(E58,".",""),"-","")," ",""),"/",""),11,1))=IF(MOD(SUMPRODUCT(--MID(SUBSTITUTE(SUBSTITUTE(SUBSTITUTE(SUBSTITUTE(E58,".",""),"-","")," ",""),"/",""),{1,2,3,4,5,6,7,8,9,10},1),{11,10,9,8,7,6,5,4,3,2}),11)&lt;2,0,11-MOD(SUMPRODUCT(--MID(SUBSTITUTE(SUBSTITUTE(SUBSTITUTE(SUBSTITUTE(E58,".",""),"-","")," ",""),"/",""),{1,2,3,4,5,6,7,8,9,10},1),{11,10,9,8,7,6,5,4,3,2}),11))),FALSE()),AND(LEN(SUBSTITUTE(SUBSTITUTE(SUBSTITUTE(SUBSTITUTE(E58,".",""),"-","")," ",""),"/",""))=14,ISNUMBER(VALUE(SUBSTITUTE(SUBSTITUTE(SUBSTITUTE(SUBSTITUTE(E58,".",""),"-","")," ",""),"/",""))))),FALSE()))),"Revisar",IF(G58&lt;&gt;"Sim","Falta comprovante",IF(AND(B58="Educação",SUMIFS($F$6:$F$155,$B$6:$B$155,"Educação",$C$6:$C$155,C58)&gt;Parâmetros!$B$6),"Acima do limite","OK"))))</f>
        <v/>
      </c>
    </row>
    <row r="59" customFormat="false" ht="15" hidden="false" customHeight="false" outlineLevel="0" collapsed="false">
      <c r="A59" s="19"/>
      <c r="B59" s="18"/>
      <c r="C59" s="18"/>
      <c r="D59" s="18"/>
      <c r="E59" s="18"/>
      <c r="F59" s="22"/>
      <c r="G59" s="23"/>
      <c r="H59" s="18"/>
      <c r="I59" s="20" t="str">
        <f aca="false">IF(AND(B59="",F59=""),"",IF(OR(A59="",B59="",C59="",F59="",NOT(IFERROR(OR(IFERROR(AND(LEN(SUBSTITUTE(SUBSTITUTE(SUBSTITUTE(SUBSTITUTE(E59,".",""),"-","")," ",""),"/",""))=11,SUBSTITUTE(SUBSTITUTE(SUBSTITUTE(SUBSTITUTE(E59,".",""),"-","")," ",""),"/","")&lt;&gt;REPT(LEFT(SUBSTITUTE(SUBSTITUTE(SUBSTITUTE(SUBSTITUTE(E59,".",""),"-","")," ",""),"/",""),1),11),VALUE(MID(SUBSTITUTE(SUBSTITUTE(SUBSTITUTE(SUBSTITUTE(E59,".",""),"-","")," ",""),"/",""),10,1))=IF(MOD(SUMPRODUCT(--MID(SUBSTITUTE(SUBSTITUTE(SUBSTITUTE(SUBSTITUTE(E59,".",""),"-","")," ",""),"/",""),{1,2,3,4,5,6,7,8,9},1),{10,9,8,7,6,5,4,3,2}),11)&lt;2,0,11-MOD(SUMPRODUCT(--MID(SUBSTITUTE(SUBSTITUTE(SUBSTITUTE(SUBSTITUTE(E59,".",""),"-","")," ",""),"/",""),{1,2,3,4,5,6,7,8,9},1),{10,9,8,7,6,5,4,3,2}),11)),VALUE(MID(SUBSTITUTE(SUBSTITUTE(SUBSTITUTE(SUBSTITUTE(E59,".",""),"-","")," ",""),"/",""),11,1))=IF(MOD(SUMPRODUCT(--MID(SUBSTITUTE(SUBSTITUTE(SUBSTITUTE(SUBSTITUTE(E59,".",""),"-","")," ",""),"/",""),{1,2,3,4,5,6,7,8,9,10},1),{11,10,9,8,7,6,5,4,3,2}),11)&lt;2,0,11-MOD(SUMPRODUCT(--MID(SUBSTITUTE(SUBSTITUTE(SUBSTITUTE(SUBSTITUTE(E59,".",""),"-","")," ",""),"/",""),{1,2,3,4,5,6,7,8,9,10},1),{11,10,9,8,7,6,5,4,3,2}),11))),FALSE()),AND(LEN(SUBSTITUTE(SUBSTITUTE(SUBSTITUTE(SUBSTITUTE(E59,".",""),"-","")," ",""),"/",""))=14,ISNUMBER(VALUE(SUBSTITUTE(SUBSTITUTE(SUBSTITUTE(SUBSTITUTE(E59,".",""),"-","")," ",""),"/",""))))),FALSE()))),"Revisar",IF(G59&lt;&gt;"Sim","Falta comprovante",IF(AND(B59="Educação",SUMIFS($F$6:$F$155,$B$6:$B$155,"Educação",$C$6:$C$155,C59)&gt;Parâmetros!$B$6),"Acima do limite","OK"))))</f>
        <v/>
      </c>
    </row>
    <row r="60" customFormat="false" ht="15" hidden="false" customHeight="false" outlineLevel="0" collapsed="false">
      <c r="A60" s="19"/>
      <c r="B60" s="18"/>
      <c r="C60" s="18"/>
      <c r="D60" s="18"/>
      <c r="E60" s="18"/>
      <c r="F60" s="22"/>
      <c r="G60" s="23"/>
      <c r="H60" s="18"/>
      <c r="I60" s="20" t="str">
        <f aca="false">IF(AND(B60="",F60=""),"",IF(OR(A60="",B60="",C60="",F60="",NOT(IFERROR(OR(IFERROR(AND(LEN(SUBSTITUTE(SUBSTITUTE(SUBSTITUTE(SUBSTITUTE(E60,".",""),"-","")," ",""),"/",""))=11,SUBSTITUTE(SUBSTITUTE(SUBSTITUTE(SUBSTITUTE(E60,".",""),"-","")," ",""),"/","")&lt;&gt;REPT(LEFT(SUBSTITUTE(SUBSTITUTE(SUBSTITUTE(SUBSTITUTE(E60,".",""),"-","")," ",""),"/",""),1),11),VALUE(MID(SUBSTITUTE(SUBSTITUTE(SUBSTITUTE(SUBSTITUTE(E60,".",""),"-","")," ",""),"/",""),10,1))=IF(MOD(SUMPRODUCT(--MID(SUBSTITUTE(SUBSTITUTE(SUBSTITUTE(SUBSTITUTE(E60,".",""),"-","")," ",""),"/",""),{1,2,3,4,5,6,7,8,9},1),{10,9,8,7,6,5,4,3,2}),11)&lt;2,0,11-MOD(SUMPRODUCT(--MID(SUBSTITUTE(SUBSTITUTE(SUBSTITUTE(SUBSTITUTE(E60,".",""),"-","")," ",""),"/",""),{1,2,3,4,5,6,7,8,9},1),{10,9,8,7,6,5,4,3,2}),11)),VALUE(MID(SUBSTITUTE(SUBSTITUTE(SUBSTITUTE(SUBSTITUTE(E60,".",""),"-","")," ",""),"/",""),11,1))=IF(MOD(SUMPRODUCT(--MID(SUBSTITUTE(SUBSTITUTE(SUBSTITUTE(SUBSTITUTE(E60,".",""),"-","")," ",""),"/",""),{1,2,3,4,5,6,7,8,9,10},1),{11,10,9,8,7,6,5,4,3,2}),11)&lt;2,0,11-MOD(SUMPRODUCT(--MID(SUBSTITUTE(SUBSTITUTE(SUBSTITUTE(SUBSTITUTE(E60,".",""),"-","")," ",""),"/",""),{1,2,3,4,5,6,7,8,9,10},1),{11,10,9,8,7,6,5,4,3,2}),11))),FALSE()),AND(LEN(SUBSTITUTE(SUBSTITUTE(SUBSTITUTE(SUBSTITUTE(E60,".",""),"-","")," ",""),"/",""))=14,ISNUMBER(VALUE(SUBSTITUTE(SUBSTITUTE(SUBSTITUTE(SUBSTITUTE(E60,".",""),"-","")," ",""),"/",""))))),FALSE()))),"Revisar",IF(G60&lt;&gt;"Sim","Falta comprovante",IF(AND(B60="Educação",SUMIFS($F$6:$F$155,$B$6:$B$155,"Educação",$C$6:$C$155,C60)&gt;Parâmetros!$B$6),"Acima do limite","OK"))))</f>
        <v/>
      </c>
    </row>
    <row r="61" customFormat="false" ht="15" hidden="false" customHeight="false" outlineLevel="0" collapsed="false">
      <c r="A61" s="19"/>
      <c r="B61" s="18"/>
      <c r="C61" s="18"/>
      <c r="D61" s="18"/>
      <c r="E61" s="18"/>
      <c r="F61" s="22"/>
      <c r="G61" s="23"/>
      <c r="H61" s="18"/>
      <c r="I61" s="20" t="str">
        <f aca="false">IF(AND(B61="",F61=""),"",IF(OR(A61="",B61="",C61="",F61="",NOT(IFERROR(OR(IFERROR(AND(LEN(SUBSTITUTE(SUBSTITUTE(SUBSTITUTE(SUBSTITUTE(E61,".",""),"-","")," ",""),"/",""))=11,SUBSTITUTE(SUBSTITUTE(SUBSTITUTE(SUBSTITUTE(E61,".",""),"-","")," ",""),"/","")&lt;&gt;REPT(LEFT(SUBSTITUTE(SUBSTITUTE(SUBSTITUTE(SUBSTITUTE(E61,".",""),"-","")," ",""),"/",""),1),11),VALUE(MID(SUBSTITUTE(SUBSTITUTE(SUBSTITUTE(SUBSTITUTE(E61,".",""),"-","")," ",""),"/",""),10,1))=IF(MOD(SUMPRODUCT(--MID(SUBSTITUTE(SUBSTITUTE(SUBSTITUTE(SUBSTITUTE(E61,".",""),"-","")," ",""),"/",""),{1,2,3,4,5,6,7,8,9},1),{10,9,8,7,6,5,4,3,2}),11)&lt;2,0,11-MOD(SUMPRODUCT(--MID(SUBSTITUTE(SUBSTITUTE(SUBSTITUTE(SUBSTITUTE(E61,".",""),"-","")," ",""),"/",""),{1,2,3,4,5,6,7,8,9},1),{10,9,8,7,6,5,4,3,2}),11)),VALUE(MID(SUBSTITUTE(SUBSTITUTE(SUBSTITUTE(SUBSTITUTE(E61,".",""),"-","")," ",""),"/",""),11,1))=IF(MOD(SUMPRODUCT(--MID(SUBSTITUTE(SUBSTITUTE(SUBSTITUTE(SUBSTITUTE(E61,".",""),"-","")," ",""),"/",""),{1,2,3,4,5,6,7,8,9,10},1),{11,10,9,8,7,6,5,4,3,2}),11)&lt;2,0,11-MOD(SUMPRODUCT(--MID(SUBSTITUTE(SUBSTITUTE(SUBSTITUTE(SUBSTITUTE(E61,".",""),"-","")," ",""),"/",""),{1,2,3,4,5,6,7,8,9,10},1),{11,10,9,8,7,6,5,4,3,2}),11))),FALSE()),AND(LEN(SUBSTITUTE(SUBSTITUTE(SUBSTITUTE(SUBSTITUTE(E61,".",""),"-","")," ",""),"/",""))=14,ISNUMBER(VALUE(SUBSTITUTE(SUBSTITUTE(SUBSTITUTE(SUBSTITUTE(E61,".",""),"-","")," ",""),"/",""))))),FALSE()))),"Revisar",IF(G61&lt;&gt;"Sim","Falta comprovante",IF(AND(B61="Educação",SUMIFS($F$6:$F$155,$B$6:$B$155,"Educação",$C$6:$C$155,C61)&gt;Parâmetros!$B$6),"Acima do limite","OK"))))</f>
        <v/>
      </c>
    </row>
    <row r="62" customFormat="false" ht="15" hidden="false" customHeight="false" outlineLevel="0" collapsed="false">
      <c r="A62" s="19"/>
      <c r="B62" s="18"/>
      <c r="C62" s="18"/>
      <c r="D62" s="18"/>
      <c r="E62" s="18"/>
      <c r="F62" s="22"/>
      <c r="G62" s="23"/>
      <c r="H62" s="18"/>
      <c r="I62" s="20" t="str">
        <f aca="false">IF(AND(B62="",F62=""),"",IF(OR(A62="",B62="",C62="",F62="",NOT(IFERROR(OR(IFERROR(AND(LEN(SUBSTITUTE(SUBSTITUTE(SUBSTITUTE(SUBSTITUTE(E62,".",""),"-","")," ",""),"/",""))=11,SUBSTITUTE(SUBSTITUTE(SUBSTITUTE(SUBSTITUTE(E62,".",""),"-","")," ",""),"/","")&lt;&gt;REPT(LEFT(SUBSTITUTE(SUBSTITUTE(SUBSTITUTE(SUBSTITUTE(E62,".",""),"-","")," ",""),"/",""),1),11),VALUE(MID(SUBSTITUTE(SUBSTITUTE(SUBSTITUTE(SUBSTITUTE(E62,".",""),"-","")," ",""),"/",""),10,1))=IF(MOD(SUMPRODUCT(--MID(SUBSTITUTE(SUBSTITUTE(SUBSTITUTE(SUBSTITUTE(E62,".",""),"-","")," ",""),"/",""),{1,2,3,4,5,6,7,8,9},1),{10,9,8,7,6,5,4,3,2}),11)&lt;2,0,11-MOD(SUMPRODUCT(--MID(SUBSTITUTE(SUBSTITUTE(SUBSTITUTE(SUBSTITUTE(E62,".",""),"-","")," ",""),"/",""),{1,2,3,4,5,6,7,8,9},1),{10,9,8,7,6,5,4,3,2}),11)),VALUE(MID(SUBSTITUTE(SUBSTITUTE(SUBSTITUTE(SUBSTITUTE(E62,".",""),"-","")," ",""),"/",""),11,1))=IF(MOD(SUMPRODUCT(--MID(SUBSTITUTE(SUBSTITUTE(SUBSTITUTE(SUBSTITUTE(E62,".",""),"-","")," ",""),"/",""),{1,2,3,4,5,6,7,8,9,10},1),{11,10,9,8,7,6,5,4,3,2}),11)&lt;2,0,11-MOD(SUMPRODUCT(--MID(SUBSTITUTE(SUBSTITUTE(SUBSTITUTE(SUBSTITUTE(E62,".",""),"-","")," ",""),"/",""),{1,2,3,4,5,6,7,8,9,10},1),{11,10,9,8,7,6,5,4,3,2}),11))),FALSE()),AND(LEN(SUBSTITUTE(SUBSTITUTE(SUBSTITUTE(SUBSTITUTE(E62,".",""),"-","")," ",""),"/",""))=14,ISNUMBER(VALUE(SUBSTITUTE(SUBSTITUTE(SUBSTITUTE(SUBSTITUTE(E62,".",""),"-","")," ",""),"/",""))))),FALSE()))),"Revisar",IF(G62&lt;&gt;"Sim","Falta comprovante",IF(AND(B62="Educação",SUMIFS($F$6:$F$155,$B$6:$B$155,"Educação",$C$6:$C$155,C62)&gt;Parâmetros!$B$6),"Acima do limite","OK"))))</f>
        <v/>
      </c>
    </row>
    <row r="63" customFormat="false" ht="15" hidden="false" customHeight="false" outlineLevel="0" collapsed="false">
      <c r="A63" s="19"/>
      <c r="B63" s="18"/>
      <c r="C63" s="18"/>
      <c r="D63" s="18"/>
      <c r="E63" s="18"/>
      <c r="F63" s="22"/>
      <c r="G63" s="23"/>
      <c r="H63" s="18"/>
      <c r="I63" s="20" t="str">
        <f aca="false">IF(AND(B63="",F63=""),"",IF(OR(A63="",B63="",C63="",F63="",NOT(IFERROR(OR(IFERROR(AND(LEN(SUBSTITUTE(SUBSTITUTE(SUBSTITUTE(SUBSTITUTE(E63,".",""),"-","")," ",""),"/",""))=11,SUBSTITUTE(SUBSTITUTE(SUBSTITUTE(SUBSTITUTE(E63,".",""),"-","")," ",""),"/","")&lt;&gt;REPT(LEFT(SUBSTITUTE(SUBSTITUTE(SUBSTITUTE(SUBSTITUTE(E63,".",""),"-","")," ",""),"/",""),1),11),VALUE(MID(SUBSTITUTE(SUBSTITUTE(SUBSTITUTE(SUBSTITUTE(E63,".",""),"-","")," ",""),"/",""),10,1))=IF(MOD(SUMPRODUCT(--MID(SUBSTITUTE(SUBSTITUTE(SUBSTITUTE(SUBSTITUTE(E63,".",""),"-","")," ",""),"/",""),{1,2,3,4,5,6,7,8,9},1),{10,9,8,7,6,5,4,3,2}),11)&lt;2,0,11-MOD(SUMPRODUCT(--MID(SUBSTITUTE(SUBSTITUTE(SUBSTITUTE(SUBSTITUTE(E63,".",""),"-","")," ",""),"/",""),{1,2,3,4,5,6,7,8,9},1),{10,9,8,7,6,5,4,3,2}),11)),VALUE(MID(SUBSTITUTE(SUBSTITUTE(SUBSTITUTE(SUBSTITUTE(E63,".",""),"-","")," ",""),"/",""),11,1))=IF(MOD(SUMPRODUCT(--MID(SUBSTITUTE(SUBSTITUTE(SUBSTITUTE(SUBSTITUTE(E63,".",""),"-","")," ",""),"/",""),{1,2,3,4,5,6,7,8,9,10},1),{11,10,9,8,7,6,5,4,3,2}),11)&lt;2,0,11-MOD(SUMPRODUCT(--MID(SUBSTITUTE(SUBSTITUTE(SUBSTITUTE(SUBSTITUTE(E63,".",""),"-","")," ",""),"/",""),{1,2,3,4,5,6,7,8,9,10},1),{11,10,9,8,7,6,5,4,3,2}),11))),FALSE()),AND(LEN(SUBSTITUTE(SUBSTITUTE(SUBSTITUTE(SUBSTITUTE(E63,".",""),"-","")," ",""),"/",""))=14,ISNUMBER(VALUE(SUBSTITUTE(SUBSTITUTE(SUBSTITUTE(SUBSTITUTE(E63,".",""),"-","")," ",""),"/",""))))),FALSE()))),"Revisar",IF(G63&lt;&gt;"Sim","Falta comprovante",IF(AND(B63="Educação",SUMIFS($F$6:$F$155,$B$6:$B$155,"Educação",$C$6:$C$155,C63)&gt;Parâmetros!$B$6),"Acima do limite","OK"))))</f>
        <v/>
      </c>
    </row>
    <row r="64" customFormat="false" ht="15" hidden="false" customHeight="false" outlineLevel="0" collapsed="false">
      <c r="A64" s="19"/>
      <c r="B64" s="18"/>
      <c r="C64" s="18"/>
      <c r="D64" s="18"/>
      <c r="E64" s="18"/>
      <c r="F64" s="22"/>
      <c r="G64" s="23"/>
      <c r="H64" s="18"/>
      <c r="I64" s="20" t="str">
        <f aca="false">IF(AND(B64="",F64=""),"",IF(OR(A64="",B64="",C64="",F64="",NOT(IFERROR(OR(IFERROR(AND(LEN(SUBSTITUTE(SUBSTITUTE(SUBSTITUTE(SUBSTITUTE(E64,".",""),"-","")," ",""),"/",""))=11,SUBSTITUTE(SUBSTITUTE(SUBSTITUTE(SUBSTITUTE(E64,".",""),"-","")," ",""),"/","")&lt;&gt;REPT(LEFT(SUBSTITUTE(SUBSTITUTE(SUBSTITUTE(SUBSTITUTE(E64,".",""),"-","")," ",""),"/",""),1),11),VALUE(MID(SUBSTITUTE(SUBSTITUTE(SUBSTITUTE(SUBSTITUTE(E64,".",""),"-","")," ",""),"/",""),10,1))=IF(MOD(SUMPRODUCT(--MID(SUBSTITUTE(SUBSTITUTE(SUBSTITUTE(SUBSTITUTE(E64,".",""),"-","")," ",""),"/",""),{1,2,3,4,5,6,7,8,9},1),{10,9,8,7,6,5,4,3,2}),11)&lt;2,0,11-MOD(SUMPRODUCT(--MID(SUBSTITUTE(SUBSTITUTE(SUBSTITUTE(SUBSTITUTE(E64,".",""),"-","")," ",""),"/",""),{1,2,3,4,5,6,7,8,9},1),{10,9,8,7,6,5,4,3,2}),11)),VALUE(MID(SUBSTITUTE(SUBSTITUTE(SUBSTITUTE(SUBSTITUTE(E64,".",""),"-","")," ",""),"/",""),11,1))=IF(MOD(SUMPRODUCT(--MID(SUBSTITUTE(SUBSTITUTE(SUBSTITUTE(SUBSTITUTE(E64,".",""),"-","")," ",""),"/",""),{1,2,3,4,5,6,7,8,9,10},1),{11,10,9,8,7,6,5,4,3,2}),11)&lt;2,0,11-MOD(SUMPRODUCT(--MID(SUBSTITUTE(SUBSTITUTE(SUBSTITUTE(SUBSTITUTE(E64,".",""),"-","")," ",""),"/",""),{1,2,3,4,5,6,7,8,9,10},1),{11,10,9,8,7,6,5,4,3,2}),11))),FALSE()),AND(LEN(SUBSTITUTE(SUBSTITUTE(SUBSTITUTE(SUBSTITUTE(E64,".",""),"-","")," ",""),"/",""))=14,ISNUMBER(VALUE(SUBSTITUTE(SUBSTITUTE(SUBSTITUTE(SUBSTITUTE(E64,".",""),"-","")," ",""),"/",""))))),FALSE()))),"Revisar",IF(G64&lt;&gt;"Sim","Falta comprovante",IF(AND(B64="Educação",SUMIFS($F$6:$F$155,$B$6:$B$155,"Educação",$C$6:$C$155,C64)&gt;Parâmetros!$B$6),"Acima do limite","OK"))))</f>
        <v/>
      </c>
    </row>
    <row r="65" customFormat="false" ht="15" hidden="false" customHeight="false" outlineLevel="0" collapsed="false">
      <c r="A65" s="19"/>
      <c r="B65" s="18"/>
      <c r="C65" s="18"/>
      <c r="D65" s="18"/>
      <c r="E65" s="18"/>
      <c r="F65" s="22"/>
      <c r="G65" s="23"/>
      <c r="H65" s="18"/>
      <c r="I65" s="20" t="str">
        <f aca="false">IF(AND(B65="",F65=""),"",IF(OR(A65="",B65="",C65="",F65="",NOT(IFERROR(OR(IFERROR(AND(LEN(SUBSTITUTE(SUBSTITUTE(SUBSTITUTE(SUBSTITUTE(E65,".",""),"-","")," ",""),"/",""))=11,SUBSTITUTE(SUBSTITUTE(SUBSTITUTE(SUBSTITUTE(E65,".",""),"-","")," ",""),"/","")&lt;&gt;REPT(LEFT(SUBSTITUTE(SUBSTITUTE(SUBSTITUTE(SUBSTITUTE(E65,".",""),"-","")," ",""),"/",""),1),11),VALUE(MID(SUBSTITUTE(SUBSTITUTE(SUBSTITUTE(SUBSTITUTE(E65,".",""),"-","")," ",""),"/",""),10,1))=IF(MOD(SUMPRODUCT(--MID(SUBSTITUTE(SUBSTITUTE(SUBSTITUTE(SUBSTITUTE(E65,".",""),"-","")," ",""),"/",""),{1,2,3,4,5,6,7,8,9},1),{10,9,8,7,6,5,4,3,2}),11)&lt;2,0,11-MOD(SUMPRODUCT(--MID(SUBSTITUTE(SUBSTITUTE(SUBSTITUTE(SUBSTITUTE(E65,".",""),"-","")," ",""),"/",""),{1,2,3,4,5,6,7,8,9},1),{10,9,8,7,6,5,4,3,2}),11)),VALUE(MID(SUBSTITUTE(SUBSTITUTE(SUBSTITUTE(SUBSTITUTE(E65,".",""),"-","")," ",""),"/",""),11,1))=IF(MOD(SUMPRODUCT(--MID(SUBSTITUTE(SUBSTITUTE(SUBSTITUTE(SUBSTITUTE(E65,".",""),"-","")," ",""),"/",""),{1,2,3,4,5,6,7,8,9,10},1),{11,10,9,8,7,6,5,4,3,2}),11)&lt;2,0,11-MOD(SUMPRODUCT(--MID(SUBSTITUTE(SUBSTITUTE(SUBSTITUTE(SUBSTITUTE(E65,".",""),"-","")," ",""),"/",""),{1,2,3,4,5,6,7,8,9,10},1),{11,10,9,8,7,6,5,4,3,2}),11))),FALSE()),AND(LEN(SUBSTITUTE(SUBSTITUTE(SUBSTITUTE(SUBSTITUTE(E65,".",""),"-","")," ",""),"/",""))=14,ISNUMBER(VALUE(SUBSTITUTE(SUBSTITUTE(SUBSTITUTE(SUBSTITUTE(E65,".",""),"-","")," ",""),"/",""))))),FALSE()))),"Revisar",IF(G65&lt;&gt;"Sim","Falta comprovante",IF(AND(B65="Educação",SUMIFS($F$6:$F$155,$B$6:$B$155,"Educação",$C$6:$C$155,C65)&gt;Parâmetros!$B$6),"Acima do limite","OK"))))</f>
        <v/>
      </c>
    </row>
    <row r="66" customFormat="false" ht="15" hidden="false" customHeight="false" outlineLevel="0" collapsed="false">
      <c r="A66" s="19"/>
      <c r="B66" s="18"/>
      <c r="C66" s="18"/>
      <c r="D66" s="18"/>
      <c r="E66" s="18"/>
      <c r="F66" s="22"/>
      <c r="G66" s="23"/>
      <c r="H66" s="18"/>
      <c r="I66" s="20" t="str">
        <f aca="false">IF(AND(B66="",F66=""),"",IF(OR(A66="",B66="",C66="",F66="",NOT(IFERROR(OR(IFERROR(AND(LEN(SUBSTITUTE(SUBSTITUTE(SUBSTITUTE(SUBSTITUTE(E66,".",""),"-","")," ",""),"/",""))=11,SUBSTITUTE(SUBSTITUTE(SUBSTITUTE(SUBSTITUTE(E66,".",""),"-","")," ",""),"/","")&lt;&gt;REPT(LEFT(SUBSTITUTE(SUBSTITUTE(SUBSTITUTE(SUBSTITUTE(E66,".",""),"-","")," ",""),"/",""),1),11),VALUE(MID(SUBSTITUTE(SUBSTITUTE(SUBSTITUTE(SUBSTITUTE(E66,".",""),"-","")," ",""),"/",""),10,1))=IF(MOD(SUMPRODUCT(--MID(SUBSTITUTE(SUBSTITUTE(SUBSTITUTE(SUBSTITUTE(E66,".",""),"-","")," ",""),"/",""),{1,2,3,4,5,6,7,8,9},1),{10,9,8,7,6,5,4,3,2}),11)&lt;2,0,11-MOD(SUMPRODUCT(--MID(SUBSTITUTE(SUBSTITUTE(SUBSTITUTE(SUBSTITUTE(E66,".",""),"-","")," ",""),"/",""),{1,2,3,4,5,6,7,8,9},1),{10,9,8,7,6,5,4,3,2}),11)),VALUE(MID(SUBSTITUTE(SUBSTITUTE(SUBSTITUTE(SUBSTITUTE(E66,".",""),"-","")," ",""),"/",""),11,1))=IF(MOD(SUMPRODUCT(--MID(SUBSTITUTE(SUBSTITUTE(SUBSTITUTE(SUBSTITUTE(E66,".",""),"-","")," ",""),"/",""),{1,2,3,4,5,6,7,8,9,10},1),{11,10,9,8,7,6,5,4,3,2}),11)&lt;2,0,11-MOD(SUMPRODUCT(--MID(SUBSTITUTE(SUBSTITUTE(SUBSTITUTE(SUBSTITUTE(E66,".",""),"-","")," ",""),"/",""),{1,2,3,4,5,6,7,8,9,10},1),{11,10,9,8,7,6,5,4,3,2}),11))),FALSE()),AND(LEN(SUBSTITUTE(SUBSTITUTE(SUBSTITUTE(SUBSTITUTE(E66,".",""),"-","")," ",""),"/",""))=14,ISNUMBER(VALUE(SUBSTITUTE(SUBSTITUTE(SUBSTITUTE(SUBSTITUTE(E66,".",""),"-","")," ",""),"/",""))))),FALSE()))),"Revisar",IF(G66&lt;&gt;"Sim","Falta comprovante",IF(AND(B66="Educação",SUMIFS($F$6:$F$155,$B$6:$B$155,"Educação",$C$6:$C$155,C66)&gt;Parâmetros!$B$6),"Acima do limite","OK"))))</f>
        <v/>
      </c>
    </row>
    <row r="67" customFormat="false" ht="15" hidden="false" customHeight="false" outlineLevel="0" collapsed="false">
      <c r="A67" s="19"/>
      <c r="B67" s="18"/>
      <c r="C67" s="18"/>
      <c r="D67" s="18"/>
      <c r="E67" s="18"/>
      <c r="F67" s="22"/>
      <c r="G67" s="23"/>
      <c r="H67" s="18"/>
      <c r="I67" s="20" t="str">
        <f aca="false">IF(AND(B67="",F67=""),"",IF(OR(A67="",B67="",C67="",F67="",NOT(IFERROR(OR(IFERROR(AND(LEN(SUBSTITUTE(SUBSTITUTE(SUBSTITUTE(SUBSTITUTE(E67,".",""),"-","")," ",""),"/",""))=11,SUBSTITUTE(SUBSTITUTE(SUBSTITUTE(SUBSTITUTE(E67,".",""),"-","")," ",""),"/","")&lt;&gt;REPT(LEFT(SUBSTITUTE(SUBSTITUTE(SUBSTITUTE(SUBSTITUTE(E67,".",""),"-","")," ",""),"/",""),1),11),VALUE(MID(SUBSTITUTE(SUBSTITUTE(SUBSTITUTE(SUBSTITUTE(E67,".",""),"-","")," ",""),"/",""),10,1))=IF(MOD(SUMPRODUCT(--MID(SUBSTITUTE(SUBSTITUTE(SUBSTITUTE(SUBSTITUTE(E67,".",""),"-","")," ",""),"/",""),{1,2,3,4,5,6,7,8,9},1),{10,9,8,7,6,5,4,3,2}),11)&lt;2,0,11-MOD(SUMPRODUCT(--MID(SUBSTITUTE(SUBSTITUTE(SUBSTITUTE(SUBSTITUTE(E67,".",""),"-","")," ",""),"/",""),{1,2,3,4,5,6,7,8,9},1),{10,9,8,7,6,5,4,3,2}),11)),VALUE(MID(SUBSTITUTE(SUBSTITUTE(SUBSTITUTE(SUBSTITUTE(E67,".",""),"-","")," ",""),"/",""),11,1))=IF(MOD(SUMPRODUCT(--MID(SUBSTITUTE(SUBSTITUTE(SUBSTITUTE(SUBSTITUTE(E67,".",""),"-","")," ",""),"/",""),{1,2,3,4,5,6,7,8,9,10},1),{11,10,9,8,7,6,5,4,3,2}),11)&lt;2,0,11-MOD(SUMPRODUCT(--MID(SUBSTITUTE(SUBSTITUTE(SUBSTITUTE(SUBSTITUTE(E67,".",""),"-","")," ",""),"/",""),{1,2,3,4,5,6,7,8,9,10},1),{11,10,9,8,7,6,5,4,3,2}),11))),FALSE()),AND(LEN(SUBSTITUTE(SUBSTITUTE(SUBSTITUTE(SUBSTITUTE(E67,".",""),"-","")," ",""),"/",""))=14,ISNUMBER(VALUE(SUBSTITUTE(SUBSTITUTE(SUBSTITUTE(SUBSTITUTE(E67,".",""),"-","")," ",""),"/",""))))),FALSE()))),"Revisar",IF(G67&lt;&gt;"Sim","Falta comprovante",IF(AND(B67="Educação",SUMIFS($F$6:$F$155,$B$6:$B$155,"Educação",$C$6:$C$155,C67)&gt;Parâmetros!$B$6),"Acima do limite","OK"))))</f>
        <v/>
      </c>
    </row>
    <row r="68" customFormat="false" ht="15" hidden="false" customHeight="false" outlineLevel="0" collapsed="false">
      <c r="A68" s="19"/>
      <c r="B68" s="18"/>
      <c r="C68" s="18"/>
      <c r="D68" s="18"/>
      <c r="E68" s="18"/>
      <c r="F68" s="22"/>
      <c r="G68" s="23"/>
      <c r="H68" s="18"/>
      <c r="I68" s="20" t="str">
        <f aca="false">IF(AND(B68="",F68=""),"",IF(OR(A68="",B68="",C68="",F68="",NOT(IFERROR(OR(IFERROR(AND(LEN(SUBSTITUTE(SUBSTITUTE(SUBSTITUTE(SUBSTITUTE(E68,".",""),"-","")," ",""),"/",""))=11,SUBSTITUTE(SUBSTITUTE(SUBSTITUTE(SUBSTITUTE(E68,".",""),"-","")," ",""),"/","")&lt;&gt;REPT(LEFT(SUBSTITUTE(SUBSTITUTE(SUBSTITUTE(SUBSTITUTE(E68,".",""),"-","")," ",""),"/",""),1),11),VALUE(MID(SUBSTITUTE(SUBSTITUTE(SUBSTITUTE(SUBSTITUTE(E68,".",""),"-","")," ",""),"/",""),10,1))=IF(MOD(SUMPRODUCT(--MID(SUBSTITUTE(SUBSTITUTE(SUBSTITUTE(SUBSTITUTE(E68,".",""),"-","")," ",""),"/",""),{1,2,3,4,5,6,7,8,9},1),{10,9,8,7,6,5,4,3,2}),11)&lt;2,0,11-MOD(SUMPRODUCT(--MID(SUBSTITUTE(SUBSTITUTE(SUBSTITUTE(SUBSTITUTE(E68,".",""),"-","")," ",""),"/",""),{1,2,3,4,5,6,7,8,9},1),{10,9,8,7,6,5,4,3,2}),11)),VALUE(MID(SUBSTITUTE(SUBSTITUTE(SUBSTITUTE(SUBSTITUTE(E68,".",""),"-","")," ",""),"/",""),11,1))=IF(MOD(SUMPRODUCT(--MID(SUBSTITUTE(SUBSTITUTE(SUBSTITUTE(SUBSTITUTE(E68,".",""),"-","")," ",""),"/",""),{1,2,3,4,5,6,7,8,9,10},1),{11,10,9,8,7,6,5,4,3,2}),11)&lt;2,0,11-MOD(SUMPRODUCT(--MID(SUBSTITUTE(SUBSTITUTE(SUBSTITUTE(SUBSTITUTE(E68,".",""),"-","")," ",""),"/",""),{1,2,3,4,5,6,7,8,9,10},1),{11,10,9,8,7,6,5,4,3,2}),11))),FALSE()),AND(LEN(SUBSTITUTE(SUBSTITUTE(SUBSTITUTE(SUBSTITUTE(E68,".",""),"-","")," ",""),"/",""))=14,ISNUMBER(VALUE(SUBSTITUTE(SUBSTITUTE(SUBSTITUTE(SUBSTITUTE(E68,".",""),"-","")," ",""),"/",""))))),FALSE()))),"Revisar",IF(G68&lt;&gt;"Sim","Falta comprovante",IF(AND(B68="Educação",SUMIFS($F$6:$F$155,$B$6:$B$155,"Educação",$C$6:$C$155,C68)&gt;Parâmetros!$B$6),"Acima do limite","OK"))))</f>
        <v/>
      </c>
    </row>
    <row r="69" customFormat="false" ht="15" hidden="false" customHeight="false" outlineLevel="0" collapsed="false">
      <c r="A69" s="19"/>
      <c r="B69" s="18"/>
      <c r="C69" s="18"/>
      <c r="D69" s="18"/>
      <c r="E69" s="18"/>
      <c r="F69" s="22"/>
      <c r="G69" s="23"/>
      <c r="H69" s="18"/>
      <c r="I69" s="20" t="str">
        <f aca="false">IF(AND(B69="",F69=""),"",IF(OR(A69="",B69="",C69="",F69="",NOT(IFERROR(OR(IFERROR(AND(LEN(SUBSTITUTE(SUBSTITUTE(SUBSTITUTE(SUBSTITUTE(E69,".",""),"-","")," ",""),"/",""))=11,SUBSTITUTE(SUBSTITUTE(SUBSTITUTE(SUBSTITUTE(E69,".",""),"-","")," ",""),"/","")&lt;&gt;REPT(LEFT(SUBSTITUTE(SUBSTITUTE(SUBSTITUTE(SUBSTITUTE(E69,".",""),"-","")," ",""),"/",""),1),11),VALUE(MID(SUBSTITUTE(SUBSTITUTE(SUBSTITUTE(SUBSTITUTE(E69,".",""),"-","")," ",""),"/",""),10,1))=IF(MOD(SUMPRODUCT(--MID(SUBSTITUTE(SUBSTITUTE(SUBSTITUTE(SUBSTITUTE(E69,".",""),"-","")," ",""),"/",""),{1,2,3,4,5,6,7,8,9},1),{10,9,8,7,6,5,4,3,2}),11)&lt;2,0,11-MOD(SUMPRODUCT(--MID(SUBSTITUTE(SUBSTITUTE(SUBSTITUTE(SUBSTITUTE(E69,".",""),"-","")," ",""),"/",""),{1,2,3,4,5,6,7,8,9},1),{10,9,8,7,6,5,4,3,2}),11)),VALUE(MID(SUBSTITUTE(SUBSTITUTE(SUBSTITUTE(SUBSTITUTE(E69,".",""),"-","")," ",""),"/",""),11,1))=IF(MOD(SUMPRODUCT(--MID(SUBSTITUTE(SUBSTITUTE(SUBSTITUTE(SUBSTITUTE(E69,".",""),"-","")," ",""),"/",""),{1,2,3,4,5,6,7,8,9,10},1),{11,10,9,8,7,6,5,4,3,2}),11)&lt;2,0,11-MOD(SUMPRODUCT(--MID(SUBSTITUTE(SUBSTITUTE(SUBSTITUTE(SUBSTITUTE(E69,".",""),"-","")," ",""),"/",""),{1,2,3,4,5,6,7,8,9,10},1),{11,10,9,8,7,6,5,4,3,2}),11))),FALSE()),AND(LEN(SUBSTITUTE(SUBSTITUTE(SUBSTITUTE(SUBSTITUTE(E69,".",""),"-","")," ",""),"/",""))=14,ISNUMBER(VALUE(SUBSTITUTE(SUBSTITUTE(SUBSTITUTE(SUBSTITUTE(E69,".",""),"-","")," ",""),"/",""))))),FALSE()))),"Revisar",IF(G69&lt;&gt;"Sim","Falta comprovante",IF(AND(B69="Educação",SUMIFS($F$6:$F$155,$B$6:$B$155,"Educação",$C$6:$C$155,C69)&gt;Parâmetros!$B$6),"Acima do limite","OK"))))</f>
        <v/>
      </c>
    </row>
    <row r="70" customFormat="false" ht="15" hidden="false" customHeight="false" outlineLevel="0" collapsed="false">
      <c r="A70" s="19"/>
      <c r="B70" s="18"/>
      <c r="C70" s="18"/>
      <c r="D70" s="18"/>
      <c r="E70" s="18"/>
      <c r="F70" s="22"/>
      <c r="G70" s="23"/>
      <c r="H70" s="18"/>
      <c r="I70" s="20" t="str">
        <f aca="false">IF(AND(B70="",F70=""),"",IF(OR(A70="",B70="",C70="",F70="",NOT(IFERROR(OR(IFERROR(AND(LEN(SUBSTITUTE(SUBSTITUTE(SUBSTITUTE(SUBSTITUTE(E70,".",""),"-","")," ",""),"/",""))=11,SUBSTITUTE(SUBSTITUTE(SUBSTITUTE(SUBSTITUTE(E70,".",""),"-","")," ",""),"/","")&lt;&gt;REPT(LEFT(SUBSTITUTE(SUBSTITUTE(SUBSTITUTE(SUBSTITUTE(E70,".",""),"-","")," ",""),"/",""),1),11),VALUE(MID(SUBSTITUTE(SUBSTITUTE(SUBSTITUTE(SUBSTITUTE(E70,".",""),"-","")," ",""),"/",""),10,1))=IF(MOD(SUMPRODUCT(--MID(SUBSTITUTE(SUBSTITUTE(SUBSTITUTE(SUBSTITUTE(E70,".",""),"-","")," ",""),"/",""),{1,2,3,4,5,6,7,8,9},1),{10,9,8,7,6,5,4,3,2}),11)&lt;2,0,11-MOD(SUMPRODUCT(--MID(SUBSTITUTE(SUBSTITUTE(SUBSTITUTE(SUBSTITUTE(E70,".",""),"-","")," ",""),"/",""),{1,2,3,4,5,6,7,8,9},1),{10,9,8,7,6,5,4,3,2}),11)),VALUE(MID(SUBSTITUTE(SUBSTITUTE(SUBSTITUTE(SUBSTITUTE(E70,".",""),"-","")," ",""),"/",""),11,1))=IF(MOD(SUMPRODUCT(--MID(SUBSTITUTE(SUBSTITUTE(SUBSTITUTE(SUBSTITUTE(E70,".",""),"-","")," ",""),"/",""),{1,2,3,4,5,6,7,8,9,10},1),{11,10,9,8,7,6,5,4,3,2}),11)&lt;2,0,11-MOD(SUMPRODUCT(--MID(SUBSTITUTE(SUBSTITUTE(SUBSTITUTE(SUBSTITUTE(E70,".",""),"-","")," ",""),"/",""),{1,2,3,4,5,6,7,8,9,10},1),{11,10,9,8,7,6,5,4,3,2}),11))),FALSE()),AND(LEN(SUBSTITUTE(SUBSTITUTE(SUBSTITUTE(SUBSTITUTE(E70,".",""),"-","")," ",""),"/",""))=14,ISNUMBER(VALUE(SUBSTITUTE(SUBSTITUTE(SUBSTITUTE(SUBSTITUTE(E70,".",""),"-","")," ",""),"/",""))))),FALSE()))),"Revisar",IF(G70&lt;&gt;"Sim","Falta comprovante",IF(AND(B70="Educação",SUMIFS($F$6:$F$155,$B$6:$B$155,"Educação",$C$6:$C$155,C70)&gt;Parâmetros!$B$6),"Acima do limite","OK"))))</f>
        <v/>
      </c>
    </row>
    <row r="71" customFormat="false" ht="15" hidden="false" customHeight="false" outlineLevel="0" collapsed="false">
      <c r="A71" s="19"/>
      <c r="B71" s="18"/>
      <c r="C71" s="18"/>
      <c r="D71" s="18"/>
      <c r="E71" s="18"/>
      <c r="F71" s="22"/>
      <c r="G71" s="23"/>
      <c r="H71" s="18"/>
      <c r="I71" s="20" t="str">
        <f aca="false">IF(AND(B71="",F71=""),"",IF(OR(A71="",B71="",C71="",F71="",NOT(IFERROR(OR(IFERROR(AND(LEN(SUBSTITUTE(SUBSTITUTE(SUBSTITUTE(SUBSTITUTE(E71,".",""),"-","")," ",""),"/",""))=11,SUBSTITUTE(SUBSTITUTE(SUBSTITUTE(SUBSTITUTE(E71,".",""),"-","")," ",""),"/","")&lt;&gt;REPT(LEFT(SUBSTITUTE(SUBSTITUTE(SUBSTITUTE(SUBSTITUTE(E71,".",""),"-","")," ",""),"/",""),1),11),VALUE(MID(SUBSTITUTE(SUBSTITUTE(SUBSTITUTE(SUBSTITUTE(E71,".",""),"-","")," ",""),"/",""),10,1))=IF(MOD(SUMPRODUCT(--MID(SUBSTITUTE(SUBSTITUTE(SUBSTITUTE(SUBSTITUTE(E71,".",""),"-","")," ",""),"/",""),{1,2,3,4,5,6,7,8,9},1),{10,9,8,7,6,5,4,3,2}),11)&lt;2,0,11-MOD(SUMPRODUCT(--MID(SUBSTITUTE(SUBSTITUTE(SUBSTITUTE(SUBSTITUTE(E71,".",""),"-","")," ",""),"/",""),{1,2,3,4,5,6,7,8,9},1),{10,9,8,7,6,5,4,3,2}),11)),VALUE(MID(SUBSTITUTE(SUBSTITUTE(SUBSTITUTE(SUBSTITUTE(E71,".",""),"-","")," ",""),"/",""),11,1))=IF(MOD(SUMPRODUCT(--MID(SUBSTITUTE(SUBSTITUTE(SUBSTITUTE(SUBSTITUTE(E71,".",""),"-","")," ",""),"/",""),{1,2,3,4,5,6,7,8,9,10},1),{11,10,9,8,7,6,5,4,3,2}),11)&lt;2,0,11-MOD(SUMPRODUCT(--MID(SUBSTITUTE(SUBSTITUTE(SUBSTITUTE(SUBSTITUTE(E71,".",""),"-","")," ",""),"/",""),{1,2,3,4,5,6,7,8,9,10},1),{11,10,9,8,7,6,5,4,3,2}),11))),FALSE()),AND(LEN(SUBSTITUTE(SUBSTITUTE(SUBSTITUTE(SUBSTITUTE(E71,".",""),"-","")," ",""),"/",""))=14,ISNUMBER(VALUE(SUBSTITUTE(SUBSTITUTE(SUBSTITUTE(SUBSTITUTE(E71,".",""),"-","")," ",""),"/",""))))),FALSE()))),"Revisar",IF(G71&lt;&gt;"Sim","Falta comprovante",IF(AND(B71="Educação",SUMIFS($F$6:$F$155,$B$6:$B$155,"Educação",$C$6:$C$155,C71)&gt;Parâmetros!$B$6),"Acima do limite","OK"))))</f>
        <v/>
      </c>
    </row>
    <row r="72" customFormat="false" ht="15" hidden="false" customHeight="false" outlineLevel="0" collapsed="false">
      <c r="A72" s="19"/>
      <c r="B72" s="18"/>
      <c r="C72" s="18"/>
      <c r="D72" s="18"/>
      <c r="E72" s="18"/>
      <c r="F72" s="22"/>
      <c r="G72" s="23"/>
      <c r="H72" s="18"/>
      <c r="I72" s="20" t="str">
        <f aca="false">IF(AND(B72="",F72=""),"",IF(OR(A72="",B72="",C72="",F72="",NOT(IFERROR(OR(IFERROR(AND(LEN(SUBSTITUTE(SUBSTITUTE(SUBSTITUTE(SUBSTITUTE(E72,".",""),"-","")," ",""),"/",""))=11,SUBSTITUTE(SUBSTITUTE(SUBSTITUTE(SUBSTITUTE(E72,".",""),"-","")," ",""),"/","")&lt;&gt;REPT(LEFT(SUBSTITUTE(SUBSTITUTE(SUBSTITUTE(SUBSTITUTE(E72,".",""),"-","")," ",""),"/",""),1),11),VALUE(MID(SUBSTITUTE(SUBSTITUTE(SUBSTITUTE(SUBSTITUTE(E72,".",""),"-","")," ",""),"/",""),10,1))=IF(MOD(SUMPRODUCT(--MID(SUBSTITUTE(SUBSTITUTE(SUBSTITUTE(SUBSTITUTE(E72,".",""),"-","")," ",""),"/",""),{1,2,3,4,5,6,7,8,9},1),{10,9,8,7,6,5,4,3,2}),11)&lt;2,0,11-MOD(SUMPRODUCT(--MID(SUBSTITUTE(SUBSTITUTE(SUBSTITUTE(SUBSTITUTE(E72,".",""),"-","")," ",""),"/",""),{1,2,3,4,5,6,7,8,9},1),{10,9,8,7,6,5,4,3,2}),11)),VALUE(MID(SUBSTITUTE(SUBSTITUTE(SUBSTITUTE(SUBSTITUTE(E72,".",""),"-","")," ",""),"/",""),11,1))=IF(MOD(SUMPRODUCT(--MID(SUBSTITUTE(SUBSTITUTE(SUBSTITUTE(SUBSTITUTE(E72,".",""),"-","")," ",""),"/",""),{1,2,3,4,5,6,7,8,9,10},1),{11,10,9,8,7,6,5,4,3,2}),11)&lt;2,0,11-MOD(SUMPRODUCT(--MID(SUBSTITUTE(SUBSTITUTE(SUBSTITUTE(SUBSTITUTE(E72,".",""),"-","")," ",""),"/",""),{1,2,3,4,5,6,7,8,9,10},1),{11,10,9,8,7,6,5,4,3,2}),11))),FALSE()),AND(LEN(SUBSTITUTE(SUBSTITUTE(SUBSTITUTE(SUBSTITUTE(E72,".",""),"-","")," ",""),"/",""))=14,ISNUMBER(VALUE(SUBSTITUTE(SUBSTITUTE(SUBSTITUTE(SUBSTITUTE(E72,".",""),"-","")," ",""),"/",""))))),FALSE()))),"Revisar",IF(G72&lt;&gt;"Sim","Falta comprovante",IF(AND(B72="Educação",SUMIFS($F$6:$F$155,$B$6:$B$155,"Educação",$C$6:$C$155,C72)&gt;Parâmetros!$B$6),"Acima do limite","OK"))))</f>
        <v/>
      </c>
    </row>
    <row r="73" customFormat="false" ht="15" hidden="false" customHeight="false" outlineLevel="0" collapsed="false">
      <c r="A73" s="19"/>
      <c r="B73" s="18"/>
      <c r="C73" s="18"/>
      <c r="D73" s="18"/>
      <c r="E73" s="18"/>
      <c r="F73" s="22"/>
      <c r="G73" s="23"/>
      <c r="H73" s="18"/>
      <c r="I73" s="20" t="str">
        <f aca="false">IF(AND(B73="",F73=""),"",IF(OR(A73="",B73="",C73="",F73="",NOT(IFERROR(OR(IFERROR(AND(LEN(SUBSTITUTE(SUBSTITUTE(SUBSTITUTE(SUBSTITUTE(E73,".",""),"-","")," ",""),"/",""))=11,SUBSTITUTE(SUBSTITUTE(SUBSTITUTE(SUBSTITUTE(E73,".",""),"-","")," ",""),"/","")&lt;&gt;REPT(LEFT(SUBSTITUTE(SUBSTITUTE(SUBSTITUTE(SUBSTITUTE(E73,".",""),"-","")," ",""),"/",""),1),11),VALUE(MID(SUBSTITUTE(SUBSTITUTE(SUBSTITUTE(SUBSTITUTE(E73,".",""),"-","")," ",""),"/",""),10,1))=IF(MOD(SUMPRODUCT(--MID(SUBSTITUTE(SUBSTITUTE(SUBSTITUTE(SUBSTITUTE(E73,".",""),"-","")," ",""),"/",""),{1,2,3,4,5,6,7,8,9},1),{10,9,8,7,6,5,4,3,2}),11)&lt;2,0,11-MOD(SUMPRODUCT(--MID(SUBSTITUTE(SUBSTITUTE(SUBSTITUTE(SUBSTITUTE(E73,".",""),"-","")," ",""),"/",""),{1,2,3,4,5,6,7,8,9},1),{10,9,8,7,6,5,4,3,2}),11)),VALUE(MID(SUBSTITUTE(SUBSTITUTE(SUBSTITUTE(SUBSTITUTE(E73,".",""),"-","")," ",""),"/",""),11,1))=IF(MOD(SUMPRODUCT(--MID(SUBSTITUTE(SUBSTITUTE(SUBSTITUTE(SUBSTITUTE(E73,".",""),"-","")," ",""),"/",""),{1,2,3,4,5,6,7,8,9,10},1),{11,10,9,8,7,6,5,4,3,2}),11)&lt;2,0,11-MOD(SUMPRODUCT(--MID(SUBSTITUTE(SUBSTITUTE(SUBSTITUTE(SUBSTITUTE(E73,".",""),"-","")," ",""),"/",""),{1,2,3,4,5,6,7,8,9,10},1),{11,10,9,8,7,6,5,4,3,2}),11))),FALSE()),AND(LEN(SUBSTITUTE(SUBSTITUTE(SUBSTITUTE(SUBSTITUTE(E73,".",""),"-","")," ",""),"/",""))=14,ISNUMBER(VALUE(SUBSTITUTE(SUBSTITUTE(SUBSTITUTE(SUBSTITUTE(E73,".",""),"-","")," ",""),"/",""))))),FALSE()))),"Revisar",IF(G73&lt;&gt;"Sim","Falta comprovante",IF(AND(B73="Educação",SUMIFS($F$6:$F$155,$B$6:$B$155,"Educação",$C$6:$C$155,C73)&gt;Parâmetros!$B$6),"Acima do limite","OK"))))</f>
        <v/>
      </c>
    </row>
    <row r="74" customFormat="false" ht="15" hidden="false" customHeight="false" outlineLevel="0" collapsed="false">
      <c r="A74" s="19"/>
      <c r="B74" s="18"/>
      <c r="C74" s="18"/>
      <c r="D74" s="18"/>
      <c r="E74" s="18"/>
      <c r="F74" s="22"/>
      <c r="G74" s="23"/>
      <c r="H74" s="18"/>
      <c r="I74" s="20" t="str">
        <f aca="false">IF(AND(B74="",F74=""),"",IF(OR(A74="",B74="",C74="",F74="",NOT(IFERROR(OR(IFERROR(AND(LEN(SUBSTITUTE(SUBSTITUTE(SUBSTITUTE(SUBSTITUTE(E74,".",""),"-","")," ",""),"/",""))=11,SUBSTITUTE(SUBSTITUTE(SUBSTITUTE(SUBSTITUTE(E74,".",""),"-","")," ",""),"/","")&lt;&gt;REPT(LEFT(SUBSTITUTE(SUBSTITUTE(SUBSTITUTE(SUBSTITUTE(E74,".",""),"-","")," ",""),"/",""),1),11),VALUE(MID(SUBSTITUTE(SUBSTITUTE(SUBSTITUTE(SUBSTITUTE(E74,".",""),"-","")," ",""),"/",""),10,1))=IF(MOD(SUMPRODUCT(--MID(SUBSTITUTE(SUBSTITUTE(SUBSTITUTE(SUBSTITUTE(E74,".",""),"-","")," ",""),"/",""),{1,2,3,4,5,6,7,8,9},1),{10,9,8,7,6,5,4,3,2}),11)&lt;2,0,11-MOD(SUMPRODUCT(--MID(SUBSTITUTE(SUBSTITUTE(SUBSTITUTE(SUBSTITUTE(E74,".",""),"-","")," ",""),"/",""),{1,2,3,4,5,6,7,8,9},1),{10,9,8,7,6,5,4,3,2}),11)),VALUE(MID(SUBSTITUTE(SUBSTITUTE(SUBSTITUTE(SUBSTITUTE(E74,".",""),"-","")," ",""),"/",""),11,1))=IF(MOD(SUMPRODUCT(--MID(SUBSTITUTE(SUBSTITUTE(SUBSTITUTE(SUBSTITUTE(E74,".",""),"-","")," ",""),"/",""),{1,2,3,4,5,6,7,8,9,10},1),{11,10,9,8,7,6,5,4,3,2}),11)&lt;2,0,11-MOD(SUMPRODUCT(--MID(SUBSTITUTE(SUBSTITUTE(SUBSTITUTE(SUBSTITUTE(E74,".",""),"-","")," ",""),"/",""),{1,2,3,4,5,6,7,8,9,10},1),{11,10,9,8,7,6,5,4,3,2}),11))),FALSE()),AND(LEN(SUBSTITUTE(SUBSTITUTE(SUBSTITUTE(SUBSTITUTE(E74,".",""),"-","")," ",""),"/",""))=14,ISNUMBER(VALUE(SUBSTITUTE(SUBSTITUTE(SUBSTITUTE(SUBSTITUTE(E74,".",""),"-","")," ",""),"/",""))))),FALSE()))),"Revisar",IF(G74&lt;&gt;"Sim","Falta comprovante",IF(AND(B74="Educação",SUMIFS($F$6:$F$155,$B$6:$B$155,"Educação",$C$6:$C$155,C74)&gt;Parâmetros!$B$6),"Acima do limite","OK"))))</f>
        <v/>
      </c>
    </row>
    <row r="75" customFormat="false" ht="15" hidden="false" customHeight="false" outlineLevel="0" collapsed="false">
      <c r="A75" s="19"/>
      <c r="B75" s="18"/>
      <c r="C75" s="18"/>
      <c r="D75" s="18"/>
      <c r="E75" s="18"/>
      <c r="F75" s="22"/>
      <c r="G75" s="23"/>
      <c r="H75" s="18"/>
      <c r="I75" s="20" t="str">
        <f aca="false">IF(AND(B75="",F75=""),"",IF(OR(A75="",B75="",C75="",F75="",NOT(IFERROR(OR(IFERROR(AND(LEN(SUBSTITUTE(SUBSTITUTE(SUBSTITUTE(SUBSTITUTE(E75,".",""),"-","")," ",""),"/",""))=11,SUBSTITUTE(SUBSTITUTE(SUBSTITUTE(SUBSTITUTE(E75,".",""),"-","")," ",""),"/","")&lt;&gt;REPT(LEFT(SUBSTITUTE(SUBSTITUTE(SUBSTITUTE(SUBSTITUTE(E75,".",""),"-","")," ",""),"/",""),1),11),VALUE(MID(SUBSTITUTE(SUBSTITUTE(SUBSTITUTE(SUBSTITUTE(E75,".",""),"-","")," ",""),"/",""),10,1))=IF(MOD(SUMPRODUCT(--MID(SUBSTITUTE(SUBSTITUTE(SUBSTITUTE(SUBSTITUTE(E75,".",""),"-","")," ",""),"/",""),{1,2,3,4,5,6,7,8,9},1),{10,9,8,7,6,5,4,3,2}),11)&lt;2,0,11-MOD(SUMPRODUCT(--MID(SUBSTITUTE(SUBSTITUTE(SUBSTITUTE(SUBSTITUTE(E75,".",""),"-","")," ",""),"/",""),{1,2,3,4,5,6,7,8,9},1),{10,9,8,7,6,5,4,3,2}),11)),VALUE(MID(SUBSTITUTE(SUBSTITUTE(SUBSTITUTE(SUBSTITUTE(E75,".",""),"-","")," ",""),"/",""),11,1))=IF(MOD(SUMPRODUCT(--MID(SUBSTITUTE(SUBSTITUTE(SUBSTITUTE(SUBSTITUTE(E75,".",""),"-","")," ",""),"/",""),{1,2,3,4,5,6,7,8,9,10},1),{11,10,9,8,7,6,5,4,3,2}),11)&lt;2,0,11-MOD(SUMPRODUCT(--MID(SUBSTITUTE(SUBSTITUTE(SUBSTITUTE(SUBSTITUTE(E75,".",""),"-","")," ",""),"/",""),{1,2,3,4,5,6,7,8,9,10},1),{11,10,9,8,7,6,5,4,3,2}),11))),FALSE()),AND(LEN(SUBSTITUTE(SUBSTITUTE(SUBSTITUTE(SUBSTITUTE(E75,".",""),"-","")," ",""),"/",""))=14,ISNUMBER(VALUE(SUBSTITUTE(SUBSTITUTE(SUBSTITUTE(SUBSTITUTE(E75,".",""),"-","")," ",""),"/",""))))),FALSE()))),"Revisar",IF(G75&lt;&gt;"Sim","Falta comprovante",IF(AND(B75="Educação",SUMIFS($F$6:$F$155,$B$6:$B$155,"Educação",$C$6:$C$155,C75)&gt;Parâmetros!$B$6),"Acima do limite","OK"))))</f>
        <v/>
      </c>
    </row>
    <row r="76" customFormat="false" ht="15" hidden="false" customHeight="false" outlineLevel="0" collapsed="false">
      <c r="A76" s="19"/>
      <c r="B76" s="18"/>
      <c r="C76" s="18"/>
      <c r="D76" s="18"/>
      <c r="E76" s="18"/>
      <c r="F76" s="22"/>
      <c r="G76" s="23"/>
      <c r="H76" s="18"/>
      <c r="I76" s="20" t="str">
        <f aca="false">IF(AND(B76="",F76=""),"",IF(OR(A76="",B76="",C76="",F76="",NOT(IFERROR(OR(IFERROR(AND(LEN(SUBSTITUTE(SUBSTITUTE(SUBSTITUTE(SUBSTITUTE(E76,".",""),"-","")," ",""),"/",""))=11,SUBSTITUTE(SUBSTITUTE(SUBSTITUTE(SUBSTITUTE(E76,".",""),"-","")," ",""),"/","")&lt;&gt;REPT(LEFT(SUBSTITUTE(SUBSTITUTE(SUBSTITUTE(SUBSTITUTE(E76,".",""),"-","")," ",""),"/",""),1),11),VALUE(MID(SUBSTITUTE(SUBSTITUTE(SUBSTITUTE(SUBSTITUTE(E76,".",""),"-","")," ",""),"/",""),10,1))=IF(MOD(SUMPRODUCT(--MID(SUBSTITUTE(SUBSTITUTE(SUBSTITUTE(SUBSTITUTE(E76,".",""),"-","")," ",""),"/",""),{1,2,3,4,5,6,7,8,9},1),{10,9,8,7,6,5,4,3,2}),11)&lt;2,0,11-MOD(SUMPRODUCT(--MID(SUBSTITUTE(SUBSTITUTE(SUBSTITUTE(SUBSTITUTE(E76,".",""),"-","")," ",""),"/",""),{1,2,3,4,5,6,7,8,9},1),{10,9,8,7,6,5,4,3,2}),11)),VALUE(MID(SUBSTITUTE(SUBSTITUTE(SUBSTITUTE(SUBSTITUTE(E76,".",""),"-","")," ",""),"/",""),11,1))=IF(MOD(SUMPRODUCT(--MID(SUBSTITUTE(SUBSTITUTE(SUBSTITUTE(SUBSTITUTE(E76,".",""),"-","")," ",""),"/",""),{1,2,3,4,5,6,7,8,9,10},1),{11,10,9,8,7,6,5,4,3,2}),11)&lt;2,0,11-MOD(SUMPRODUCT(--MID(SUBSTITUTE(SUBSTITUTE(SUBSTITUTE(SUBSTITUTE(E76,".",""),"-","")," ",""),"/",""),{1,2,3,4,5,6,7,8,9,10},1),{11,10,9,8,7,6,5,4,3,2}),11))),FALSE()),AND(LEN(SUBSTITUTE(SUBSTITUTE(SUBSTITUTE(SUBSTITUTE(E76,".",""),"-","")," ",""),"/",""))=14,ISNUMBER(VALUE(SUBSTITUTE(SUBSTITUTE(SUBSTITUTE(SUBSTITUTE(E76,".",""),"-","")," ",""),"/",""))))),FALSE()))),"Revisar",IF(G76&lt;&gt;"Sim","Falta comprovante",IF(AND(B76="Educação",SUMIFS($F$6:$F$155,$B$6:$B$155,"Educação",$C$6:$C$155,C76)&gt;Parâmetros!$B$6),"Acima do limite","OK"))))</f>
        <v/>
      </c>
    </row>
    <row r="77" customFormat="false" ht="15" hidden="false" customHeight="false" outlineLevel="0" collapsed="false">
      <c r="A77" s="19"/>
      <c r="B77" s="18"/>
      <c r="C77" s="18"/>
      <c r="D77" s="18"/>
      <c r="E77" s="18"/>
      <c r="F77" s="22"/>
      <c r="G77" s="23"/>
      <c r="H77" s="18"/>
      <c r="I77" s="20" t="str">
        <f aca="false">IF(AND(B77="",F77=""),"",IF(OR(A77="",B77="",C77="",F77="",NOT(IFERROR(OR(IFERROR(AND(LEN(SUBSTITUTE(SUBSTITUTE(SUBSTITUTE(SUBSTITUTE(E77,".",""),"-","")," ",""),"/",""))=11,SUBSTITUTE(SUBSTITUTE(SUBSTITUTE(SUBSTITUTE(E77,".",""),"-","")," ",""),"/","")&lt;&gt;REPT(LEFT(SUBSTITUTE(SUBSTITUTE(SUBSTITUTE(SUBSTITUTE(E77,".",""),"-","")," ",""),"/",""),1),11),VALUE(MID(SUBSTITUTE(SUBSTITUTE(SUBSTITUTE(SUBSTITUTE(E77,".",""),"-","")," ",""),"/",""),10,1))=IF(MOD(SUMPRODUCT(--MID(SUBSTITUTE(SUBSTITUTE(SUBSTITUTE(SUBSTITUTE(E77,".",""),"-","")," ",""),"/",""),{1,2,3,4,5,6,7,8,9},1),{10,9,8,7,6,5,4,3,2}),11)&lt;2,0,11-MOD(SUMPRODUCT(--MID(SUBSTITUTE(SUBSTITUTE(SUBSTITUTE(SUBSTITUTE(E77,".",""),"-","")," ",""),"/",""),{1,2,3,4,5,6,7,8,9},1),{10,9,8,7,6,5,4,3,2}),11)),VALUE(MID(SUBSTITUTE(SUBSTITUTE(SUBSTITUTE(SUBSTITUTE(E77,".",""),"-","")," ",""),"/",""),11,1))=IF(MOD(SUMPRODUCT(--MID(SUBSTITUTE(SUBSTITUTE(SUBSTITUTE(SUBSTITUTE(E77,".",""),"-","")," ",""),"/",""),{1,2,3,4,5,6,7,8,9,10},1),{11,10,9,8,7,6,5,4,3,2}),11)&lt;2,0,11-MOD(SUMPRODUCT(--MID(SUBSTITUTE(SUBSTITUTE(SUBSTITUTE(SUBSTITUTE(E77,".",""),"-","")," ",""),"/",""),{1,2,3,4,5,6,7,8,9,10},1),{11,10,9,8,7,6,5,4,3,2}),11))),FALSE()),AND(LEN(SUBSTITUTE(SUBSTITUTE(SUBSTITUTE(SUBSTITUTE(E77,".",""),"-","")," ",""),"/",""))=14,ISNUMBER(VALUE(SUBSTITUTE(SUBSTITUTE(SUBSTITUTE(SUBSTITUTE(E77,".",""),"-","")," ",""),"/",""))))),FALSE()))),"Revisar",IF(G77&lt;&gt;"Sim","Falta comprovante",IF(AND(B77="Educação",SUMIFS($F$6:$F$155,$B$6:$B$155,"Educação",$C$6:$C$155,C77)&gt;Parâmetros!$B$6),"Acima do limite","OK"))))</f>
        <v/>
      </c>
    </row>
    <row r="78" customFormat="false" ht="15" hidden="false" customHeight="false" outlineLevel="0" collapsed="false">
      <c r="A78" s="19"/>
      <c r="B78" s="18"/>
      <c r="C78" s="18"/>
      <c r="D78" s="18"/>
      <c r="E78" s="18"/>
      <c r="F78" s="22"/>
      <c r="G78" s="23"/>
      <c r="H78" s="18"/>
      <c r="I78" s="20" t="str">
        <f aca="false">IF(AND(B78="",F78=""),"",IF(OR(A78="",B78="",C78="",F78="",NOT(IFERROR(OR(IFERROR(AND(LEN(SUBSTITUTE(SUBSTITUTE(SUBSTITUTE(SUBSTITUTE(E78,".",""),"-","")," ",""),"/",""))=11,SUBSTITUTE(SUBSTITUTE(SUBSTITUTE(SUBSTITUTE(E78,".",""),"-","")," ",""),"/","")&lt;&gt;REPT(LEFT(SUBSTITUTE(SUBSTITUTE(SUBSTITUTE(SUBSTITUTE(E78,".",""),"-","")," ",""),"/",""),1),11),VALUE(MID(SUBSTITUTE(SUBSTITUTE(SUBSTITUTE(SUBSTITUTE(E78,".",""),"-","")," ",""),"/",""),10,1))=IF(MOD(SUMPRODUCT(--MID(SUBSTITUTE(SUBSTITUTE(SUBSTITUTE(SUBSTITUTE(E78,".",""),"-","")," ",""),"/",""),{1,2,3,4,5,6,7,8,9},1),{10,9,8,7,6,5,4,3,2}),11)&lt;2,0,11-MOD(SUMPRODUCT(--MID(SUBSTITUTE(SUBSTITUTE(SUBSTITUTE(SUBSTITUTE(E78,".",""),"-","")," ",""),"/",""),{1,2,3,4,5,6,7,8,9},1),{10,9,8,7,6,5,4,3,2}),11)),VALUE(MID(SUBSTITUTE(SUBSTITUTE(SUBSTITUTE(SUBSTITUTE(E78,".",""),"-","")," ",""),"/",""),11,1))=IF(MOD(SUMPRODUCT(--MID(SUBSTITUTE(SUBSTITUTE(SUBSTITUTE(SUBSTITUTE(E78,".",""),"-","")," ",""),"/",""),{1,2,3,4,5,6,7,8,9,10},1),{11,10,9,8,7,6,5,4,3,2}),11)&lt;2,0,11-MOD(SUMPRODUCT(--MID(SUBSTITUTE(SUBSTITUTE(SUBSTITUTE(SUBSTITUTE(E78,".",""),"-","")," ",""),"/",""),{1,2,3,4,5,6,7,8,9,10},1),{11,10,9,8,7,6,5,4,3,2}),11))),FALSE()),AND(LEN(SUBSTITUTE(SUBSTITUTE(SUBSTITUTE(SUBSTITUTE(E78,".",""),"-","")," ",""),"/",""))=14,ISNUMBER(VALUE(SUBSTITUTE(SUBSTITUTE(SUBSTITUTE(SUBSTITUTE(E78,".",""),"-","")," ",""),"/",""))))),FALSE()))),"Revisar",IF(G78&lt;&gt;"Sim","Falta comprovante",IF(AND(B78="Educação",SUMIFS($F$6:$F$155,$B$6:$B$155,"Educação",$C$6:$C$155,C78)&gt;Parâmetros!$B$6),"Acima do limite","OK"))))</f>
        <v/>
      </c>
    </row>
    <row r="79" customFormat="false" ht="15" hidden="false" customHeight="false" outlineLevel="0" collapsed="false">
      <c r="A79" s="19"/>
      <c r="B79" s="18"/>
      <c r="C79" s="18"/>
      <c r="D79" s="18"/>
      <c r="E79" s="18"/>
      <c r="F79" s="22"/>
      <c r="G79" s="23"/>
      <c r="H79" s="18"/>
      <c r="I79" s="20" t="str">
        <f aca="false">IF(AND(B79="",F79=""),"",IF(OR(A79="",B79="",C79="",F79="",NOT(IFERROR(OR(IFERROR(AND(LEN(SUBSTITUTE(SUBSTITUTE(SUBSTITUTE(SUBSTITUTE(E79,".",""),"-","")," ",""),"/",""))=11,SUBSTITUTE(SUBSTITUTE(SUBSTITUTE(SUBSTITUTE(E79,".",""),"-","")," ",""),"/","")&lt;&gt;REPT(LEFT(SUBSTITUTE(SUBSTITUTE(SUBSTITUTE(SUBSTITUTE(E79,".",""),"-","")," ",""),"/",""),1),11),VALUE(MID(SUBSTITUTE(SUBSTITUTE(SUBSTITUTE(SUBSTITUTE(E79,".",""),"-","")," ",""),"/",""),10,1))=IF(MOD(SUMPRODUCT(--MID(SUBSTITUTE(SUBSTITUTE(SUBSTITUTE(SUBSTITUTE(E79,".",""),"-","")," ",""),"/",""),{1,2,3,4,5,6,7,8,9},1),{10,9,8,7,6,5,4,3,2}),11)&lt;2,0,11-MOD(SUMPRODUCT(--MID(SUBSTITUTE(SUBSTITUTE(SUBSTITUTE(SUBSTITUTE(E79,".",""),"-","")," ",""),"/",""),{1,2,3,4,5,6,7,8,9},1),{10,9,8,7,6,5,4,3,2}),11)),VALUE(MID(SUBSTITUTE(SUBSTITUTE(SUBSTITUTE(SUBSTITUTE(E79,".",""),"-","")," ",""),"/",""),11,1))=IF(MOD(SUMPRODUCT(--MID(SUBSTITUTE(SUBSTITUTE(SUBSTITUTE(SUBSTITUTE(E79,".",""),"-","")," ",""),"/",""),{1,2,3,4,5,6,7,8,9,10},1),{11,10,9,8,7,6,5,4,3,2}),11)&lt;2,0,11-MOD(SUMPRODUCT(--MID(SUBSTITUTE(SUBSTITUTE(SUBSTITUTE(SUBSTITUTE(E79,".",""),"-","")," ",""),"/",""),{1,2,3,4,5,6,7,8,9,10},1),{11,10,9,8,7,6,5,4,3,2}),11))),FALSE()),AND(LEN(SUBSTITUTE(SUBSTITUTE(SUBSTITUTE(SUBSTITUTE(E79,".",""),"-","")," ",""),"/",""))=14,ISNUMBER(VALUE(SUBSTITUTE(SUBSTITUTE(SUBSTITUTE(SUBSTITUTE(E79,".",""),"-","")," ",""),"/",""))))),FALSE()))),"Revisar",IF(G79&lt;&gt;"Sim","Falta comprovante",IF(AND(B79="Educação",SUMIFS($F$6:$F$155,$B$6:$B$155,"Educação",$C$6:$C$155,C79)&gt;Parâmetros!$B$6),"Acima do limite","OK"))))</f>
        <v/>
      </c>
    </row>
    <row r="80" customFormat="false" ht="15" hidden="false" customHeight="false" outlineLevel="0" collapsed="false">
      <c r="A80" s="19"/>
      <c r="B80" s="18"/>
      <c r="C80" s="18"/>
      <c r="D80" s="18"/>
      <c r="E80" s="18"/>
      <c r="F80" s="22"/>
      <c r="G80" s="23"/>
      <c r="H80" s="18"/>
      <c r="I80" s="20" t="str">
        <f aca="false">IF(AND(B80="",F80=""),"",IF(OR(A80="",B80="",C80="",F80="",NOT(IFERROR(OR(IFERROR(AND(LEN(SUBSTITUTE(SUBSTITUTE(SUBSTITUTE(SUBSTITUTE(E80,".",""),"-","")," ",""),"/",""))=11,SUBSTITUTE(SUBSTITUTE(SUBSTITUTE(SUBSTITUTE(E80,".",""),"-","")," ",""),"/","")&lt;&gt;REPT(LEFT(SUBSTITUTE(SUBSTITUTE(SUBSTITUTE(SUBSTITUTE(E80,".",""),"-","")," ",""),"/",""),1),11),VALUE(MID(SUBSTITUTE(SUBSTITUTE(SUBSTITUTE(SUBSTITUTE(E80,".",""),"-","")," ",""),"/",""),10,1))=IF(MOD(SUMPRODUCT(--MID(SUBSTITUTE(SUBSTITUTE(SUBSTITUTE(SUBSTITUTE(E80,".",""),"-","")," ",""),"/",""),{1,2,3,4,5,6,7,8,9},1),{10,9,8,7,6,5,4,3,2}),11)&lt;2,0,11-MOD(SUMPRODUCT(--MID(SUBSTITUTE(SUBSTITUTE(SUBSTITUTE(SUBSTITUTE(E80,".",""),"-","")," ",""),"/",""),{1,2,3,4,5,6,7,8,9},1),{10,9,8,7,6,5,4,3,2}),11)),VALUE(MID(SUBSTITUTE(SUBSTITUTE(SUBSTITUTE(SUBSTITUTE(E80,".",""),"-","")," ",""),"/",""),11,1))=IF(MOD(SUMPRODUCT(--MID(SUBSTITUTE(SUBSTITUTE(SUBSTITUTE(SUBSTITUTE(E80,".",""),"-","")," ",""),"/",""),{1,2,3,4,5,6,7,8,9,10},1),{11,10,9,8,7,6,5,4,3,2}),11)&lt;2,0,11-MOD(SUMPRODUCT(--MID(SUBSTITUTE(SUBSTITUTE(SUBSTITUTE(SUBSTITUTE(E80,".",""),"-","")," ",""),"/",""),{1,2,3,4,5,6,7,8,9,10},1),{11,10,9,8,7,6,5,4,3,2}),11))),FALSE()),AND(LEN(SUBSTITUTE(SUBSTITUTE(SUBSTITUTE(SUBSTITUTE(E80,".",""),"-","")," ",""),"/",""))=14,ISNUMBER(VALUE(SUBSTITUTE(SUBSTITUTE(SUBSTITUTE(SUBSTITUTE(E80,".",""),"-","")," ",""),"/",""))))),FALSE()))),"Revisar",IF(G80&lt;&gt;"Sim","Falta comprovante",IF(AND(B80="Educação",SUMIFS($F$6:$F$155,$B$6:$B$155,"Educação",$C$6:$C$155,C80)&gt;Parâmetros!$B$6),"Acima do limite","OK"))))</f>
        <v/>
      </c>
    </row>
    <row r="81" customFormat="false" ht="15" hidden="false" customHeight="false" outlineLevel="0" collapsed="false">
      <c r="A81" s="19"/>
      <c r="B81" s="18"/>
      <c r="C81" s="18"/>
      <c r="D81" s="18"/>
      <c r="E81" s="18"/>
      <c r="F81" s="22"/>
      <c r="G81" s="23"/>
      <c r="H81" s="18"/>
      <c r="I81" s="20" t="str">
        <f aca="false">IF(AND(B81="",F81=""),"",IF(OR(A81="",B81="",C81="",F81="",NOT(IFERROR(OR(IFERROR(AND(LEN(SUBSTITUTE(SUBSTITUTE(SUBSTITUTE(SUBSTITUTE(E81,".",""),"-","")," ",""),"/",""))=11,SUBSTITUTE(SUBSTITUTE(SUBSTITUTE(SUBSTITUTE(E81,".",""),"-","")," ",""),"/","")&lt;&gt;REPT(LEFT(SUBSTITUTE(SUBSTITUTE(SUBSTITUTE(SUBSTITUTE(E81,".",""),"-","")," ",""),"/",""),1),11),VALUE(MID(SUBSTITUTE(SUBSTITUTE(SUBSTITUTE(SUBSTITUTE(E81,".",""),"-","")," ",""),"/",""),10,1))=IF(MOD(SUMPRODUCT(--MID(SUBSTITUTE(SUBSTITUTE(SUBSTITUTE(SUBSTITUTE(E81,".",""),"-","")," ",""),"/",""),{1,2,3,4,5,6,7,8,9},1),{10,9,8,7,6,5,4,3,2}),11)&lt;2,0,11-MOD(SUMPRODUCT(--MID(SUBSTITUTE(SUBSTITUTE(SUBSTITUTE(SUBSTITUTE(E81,".",""),"-","")," ",""),"/",""),{1,2,3,4,5,6,7,8,9},1),{10,9,8,7,6,5,4,3,2}),11)),VALUE(MID(SUBSTITUTE(SUBSTITUTE(SUBSTITUTE(SUBSTITUTE(E81,".",""),"-","")," ",""),"/",""),11,1))=IF(MOD(SUMPRODUCT(--MID(SUBSTITUTE(SUBSTITUTE(SUBSTITUTE(SUBSTITUTE(E81,".",""),"-","")," ",""),"/",""),{1,2,3,4,5,6,7,8,9,10},1),{11,10,9,8,7,6,5,4,3,2}),11)&lt;2,0,11-MOD(SUMPRODUCT(--MID(SUBSTITUTE(SUBSTITUTE(SUBSTITUTE(SUBSTITUTE(E81,".",""),"-","")," ",""),"/",""),{1,2,3,4,5,6,7,8,9,10},1),{11,10,9,8,7,6,5,4,3,2}),11))),FALSE()),AND(LEN(SUBSTITUTE(SUBSTITUTE(SUBSTITUTE(SUBSTITUTE(E81,".",""),"-","")," ",""),"/",""))=14,ISNUMBER(VALUE(SUBSTITUTE(SUBSTITUTE(SUBSTITUTE(SUBSTITUTE(E81,".",""),"-","")," ",""),"/",""))))),FALSE()))),"Revisar",IF(G81&lt;&gt;"Sim","Falta comprovante",IF(AND(B81="Educação",SUMIFS($F$6:$F$155,$B$6:$B$155,"Educação",$C$6:$C$155,C81)&gt;Parâmetros!$B$6),"Acima do limite","OK"))))</f>
        <v/>
      </c>
    </row>
    <row r="82" customFormat="false" ht="15" hidden="false" customHeight="false" outlineLevel="0" collapsed="false">
      <c r="A82" s="19"/>
      <c r="B82" s="18"/>
      <c r="C82" s="18"/>
      <c r="D82" s="18"/>
      <c r="E82" s="18"/>
      <c r="F82" s="22"/>
      <c r="G82" s="23"/>
      <c r="H82" s="18"/>
      <c r="I82" s="20" t="str">
        <f aca="false">IF(AND(B82="",F82=""),"",IF(OR(A82="",B82="",C82="",F82="",NOT(IFERROR(OR(IFERROR(AND(LEN(SUBSTITUTE(SUBSTITUTE(SUBSTITUTE(SUBSTITUTE(E82,".",""),"-","")," ",""),"/",""))=11,SUBSTITUTE(SUBSTITUTE(SUBSTITUTE(SUBSTITUTE(E82,".",""),"-","")," ",""),"/","")&lt;&gt;REPT(LEFT(SUBSTITUTE(SUBSTITUTE(SUBSTITUTE(SUBSTITUTE(E82,".",""),"-","")," ",""),"/",""),1),11),VALUE(MID(SUBSTITUTE(SUBSTITUTE(SUBSTITUTE(SUBSTITUTE(E82,".",""),"-","")," ",""),"/",""),10,1))=IF(MOD(SUMPRODUCT(--MID(SUBSTITUTE(SUBSTITUTE(SUBSTITUTE(SUBSTITUTE(E82,".",""),"-","")," ",""),"/",""),{1,2,3,4,5,6,7,8,9},1),{10,9,8,7,6,5,4,3,2}),11)&lt;2,0,11-MOD(SUMPRODUCT(--MID(SUBSTITUTE(SUBSTITUTE(SUBSTITUTE(SUBSTITUTE(E82,".",""),"-","")," ",""),"/",""),{1,2,3,4,5,6,7,8,9},1),{10,9,8,7,6,5,4,3,2}),11)),VALUE(MID(SUBSTITUTE(SUBSTITUTE(SUBSTITUTE(SUBSTITUTE(E82,".",""),"-","")," ",""),"/",""),11,1))=IF(MOD(SUMPRODUCT(--MID(SUBSTITUTE(SUBSTITUTE(SUBSTITUTE(SUBSTITUTE(E82,".",""),"-","")," ",""),"/",""),{1,2,3,4,5,6,7,8,9,10},1),{11,10,9,8,7,6,5,4,3,2}),11)&lt;2,0,11-MOD(SUMPRODUCT(--MID(SUBSTITUTE(SUBSTITUTE(SUBSTITUTE(SUBSTITUTE(E82,".",""),"-","")," ",""),"/",""),{1,2,3,4,5,6,7,8,9,10},1),{11,10,9,8,7,6,5,4,3,2}),11))),FALSE()),AND(LEN(SUBSTITUTE(SUBSTITUTE(SUBSTITUTE(SUBSTITUTE(E82,".",""),"-","")," ",""),"/",""))=14,ISNUMBER(VALUE(SUBSTITUTE(SUBSTITUTE(SUBSTITUTE(SUBSTITUTE(E82,".",""),"-","")," ",""),"/",""))))),FALSE()))),"Revisar",IF(G82&lt;&gt;"Sim","Falta comprovante",IF(AND(B82="Educação",SUMIFS($F$6:$F$155,$B$6:$B$155,"Educação",$C$6:$C$155,C82)&gt;Parâmetros!$B$6),"Acima do limite","OK"))))</f>
        <v/>
      </c>
    </row>
    <row r="83" customFormat="false" ht="15" hidden="false" customHeight="false" outlineLevel="0" collapsed="false">
      <c r="A83" s="19"/>
      <c r="B83" s="18"/>
      <c r="C83" s="18"/>
      <c r="D83" s="18"/>
      <c r="E83" s="18"/>
      <c r="F83" s="22"/>
      <c r="G83" s="23"/>
      <c r="H83" s="18"/>
      <c r="I83" s="20" t="str">
        <f aca="false">IF(AND(B83="",F83=""),"",IF(OR(A83="",B83="",C83="",F83="",NOT(IFERROR(OR(IFERROR(AND(LEN(SUBSTITUTE(SUBSTITUTE(SUBSTITUTE(SUBSTITUTE(E83,".",""),"-","")," ",""),"/",""))=11,SUBSTITUTE(SUBSTITUTE(SUBSTITUTE(SUBSTITUTE(E83,".",""),"-","")," ",""),"/","")&lt;&gt;REPT(LEFT(SUBSTITUTE(SUBSTITUTE(SUBSTITUTE(SUBSTITUTE(E83,".",""),"-","")," ",""),"/",""),1),11),VALUE(MID(SUBSTITUTE(SUBSTITUTE(SUBSTITUTE(SUBSTITUTE(E83,".",""),"-","")," ",""),"/",""),10,1))=IF(MOD(SUMPRODUCT(--MID(SUBSTITUTE(SUBSTITUTE(SUBSTITUTE(SUBSTITUTE(E83,".",""),"-","")," ",""),"/",""),{1,2,3,4,5,6,7,8,9},1),{10,9,8,7,6,5,4,3,2}),11)&lt;2,0,11-MOD(SUMPRODUCT(--MID(SUBSTITUTE(SUBSTITUTE(SUBSTITUTE(SUBSTITUTE(E83,".",""),"-","")," ",""),"/",""),{1,2,3,4,5,6,7,8,9},1),{10,9,8,7,6,5,4,3,2}),11)),VALUE(MID(SUBSTITUTE(SUBSTITUTE(SUBSTITUTE(SUBSTITUTE(E83,".",""),"-","")," ",""),"/",""),11,1))=IF(MOD(SUMPRODUCT(--MID(SUBSTITUTE(SUBSTITUTE(SUBSTITUTE(SUBSTITUTE(E83,".",""),"-","")," ",""),"/",""),{1,2,3,4,5,6,7,8,9,10},1),{11,10,9,8,7,6,5,4,3,2}),11)&lt;2,0,11-MOD(SUMPRODUCT(--MID(SUBSTITUTE(SUBSTITUTE(SUBSTITUTE(SUBSTITUTE(E83,".",""),"-","")," ",""),"/",""),{1,2,3,4,5,6,7,8,9,10},1),{11,10,9,8,7,6,5,4,3,2}),11))),FALSE()),AND(LEN(SUBSTITUTE(SUBSTITUTE(SUBSTITUTE(SUBSTITUTE(E83,".",""),"-","")," ",""),"/",""))=14,ISNUMBER(VALUE(SUBSTITUTE(SUBSTITUTE(SUBSTITUTE(SUBSTITUTE(E83,".",""),"-","")," ",""),"/",""))))),FALSE()))),"Revisar",IF(G83&lt;&gt;"Sim","Falta comprovante",IF(AND(B83="Educação",SUMIFS($F$6:$F$155,$B$6:$B$155,"Educação",$C$6:$C$155,C83)&gt;Parâmetros!$B$6),"Acima do limite","OK"))))</f>
        <v/>
      </c>
    </row>
    <row r="84" customFormat="false" ht="15" hidden="false" customHeight="false" outlineLevel="0" collapsed="false">
      <c r="A84" s="19"/>
      <c r="B84" s="18"/>
      <c r="C84" s="18"/>
      <c r="D84" s="18"/>
      <c r="E84" s="18"/>
      <c r="F84" s="22"/>
      <c r="G84" s="23"/>
      <c r="H84" s="18"/>
      <c r="I84" s="20" t="str">
        <f aca="false">IF(AND(B84="",F84=""),"",IF(OR(A84="",B84="",C84="",F84="",NOT(IFERROR(OR(IFERROR(AND(LEN(SUBSTITUTE(SUBSTITUTE(SUBSTITUTE(SUBSTITUTE(E84,".",""),"-","")," ",""),"/",""))=11,SUBSTITUTE(SUBSTITUTE(SUBSTITUTE(SUBSTITUTE(E84,".",""),"-","")," ",""),"/","")&lt;&gt;REPT(LEFT(SUBSTITUTE(SUBSTITUTE(SUBSTITUTE(SUBSTITUTE(E84,".",""),"-","")," ",""),"/",""),1),11),VALUE(MID(SUBSTITUTE(SUBSTITUTE(SUBSTITUTE(SUBSTITUTE(E84,".",""),"-","")," ",""),"/",""),10,1))=IF(MOD(SUMPRODUCT(--MID(SUBSTITUTE(SUBSTITUTE(SUBSTITUTE(SUBSTITUTE(E84,".",""),"-","")," ",""),"/",""),{1,2,3,4,5,6,7,8,9},1),{10,9,8,7,6,5,4,3,2}),11)&lt;2,0,11-MOD(SUMPRODUCT(--MID(SUBSTITUTE(SUBSTITUTE(SUBSTITUTE(SUBSTITUTE(E84,".",""),"-","")," ",""),"/",""),{1,2,3,4,5,6,7,8,9},1),{10,9,8,7,6,5,4,3,2}),11)),VALUE(MID(SUBSTITUTE(SUBSTITUTE(SUBSTITUTE(SUBSTITUTE(E84,".",""),"-","")," ",""),"/",""),11,1))=IF(MOD(SUMPRODUCT(--MID(SUBSTITUTE(SUBSTITUTE(SUBSTITUTE(SUBSTITUTE(E84,".",""),"-","")," ",""),"/",""),{1,2,3,4,5,6,7,8,9,10},1),{11,10,9,8,7,6,5,4,3,2}),11)&lt;2,0,11-MOD(SUMPRODUCT(--MID(SUBSTITUTE(SUBSTITUTE(SUBSTITUTE(SUBSTITUTE(E84,".",""),"-","")," ",""),"/",""),{1,2,3,4,5,6,7,8,9,10},1),{11,10,9,8,7,6,5,4,3,2}),11))),FALSE()),AND(LEN(SUBSTITUTE(SUBSTITUTE(SUBSTITUTE(SUBSTITUTE(E84,".",""),"-","")," ",""),"/",""))=14,ISNUMBER(VALUE(SUBSTITUTE(SUBSTITUTE(SUBSTITUTE(SUBSTITUTE(E84,".",""),"-","")," ",""),"/",""))))),FALSE()))),"Revisar",IF(G84&lt;&gt;"Sim","Falta comprovante",IF(AND(B84="Educação",SUMIFS($F$6:$F$155,$B$6:$B$155,"Educação",$C$6:$C$155,C84)&gt;Parâmetros!$B$6),"Acima do limite","OK"))))</f>
        <v/>
      </c>
    </row>
    <row r="85" customFormat="false" ht="15" hidden="false" customHeight="false" outlineLevel="0" collapsed="false">
      <c r="A85" s="19"/>
      <c r="B85" s="18"/>
      <c r="C85" s="18"/>
      <c r="D85" s="18"/>
      <c r="E85" s="18"/>
      <c r="F85" s="22"/>
      <c r="G85" s="23"/>
      <c r="H85" s="18"/>
      <c r="I85" s="20" t="str">
        <f aca="false">IF(AND(B85="",F85=""),"",IF(OR(A85="",B85="",C85="",F85="",NOT(IFERROR(OR(IFERROR(AND(LEN(SUBSTITUTE(SUBSTITUTE(SUBSTITUTE(SUBSTITUTE(E85,".",""),"-","")," ",""),"/",""))=11,SUBSTITUTE(SUBSTITUTE(SUBSTITUTE(SUBSTITUTE(E85,".",""),"-","")," ",""),"/","")&lt;&gt;REPT(LEFT(SUBSTITUTE(SUBSTITUTE(SUBSTITUTE(SUBSTITUTE(E85,".",""),"-","")," ",""),"/",""),1),11),VALUE(MID(SUBSTITUTE(SUBSTITUTE(SUBSTITUTE(SUBSTITUTE(E85,".",""),"-","")," ",""),"/",""),10,1))=IF(MOD(SUMPRODUCT(--MID(SUBSTITUTE(SUBSTITUTE(SUBSTITUTE(SUBSTITUTE(E85,".",""),"-","")," ",""),"/",""),{1,2,3,4,5,6,7,8,9},1),{10,9,8,7,6,5,4,3,2}),11)&lt;2,0,11-MOD(SUMPRODUCT(--MID(SUBSTITUTE(SUBSTITUTE(SUBSTITUTE(SUBSTITUTE(E85,".",""),"-","")," ",""),"/",""),{1,2,3,4,5,6,7,8,9},1),{10,9,8,7,6,5,4,3,2}),11)),VALUE(MID(SUBSTITUTE(SUBSTITUTE(SUBSTITUTE(SUBSTITUTE(E85,".",""),"-","")," ",""),"/",""),11,1))=IF(MOD(SUMPRODUCT(--MID(SUBSTITUTE(SUBSTITUTE(SUBSTITUTE(SUBSTITUTE(E85,".",""),"-","")," ",""),"/",""),{1,2,3,4,5,6,7,8,9,10},1),{11,10,9,8,7,6,5,4,3,2}),11)&lt;2,0,11-MOD(SUMPRODUCT(--MID(SUBSTITUTE(SUBSTITUTE(SUBSTITUTE(SUBSTITUTE(E85,".",""),"-","")," ",""),"/",""),{1,2,3,4,5,6,7,8,9,10},1),{11,10,9,8,7,6,5,4,3,2}),11))),FALSE()),AND(LEN(SUBSTITUTE(SUBSTITUTE(SUBSTITUTE(SUBSTITUTE(E85,".",""),"-","")," ",""),"/",""))=14,ISNUMBER(VALUE(SUBSTITUTE(SUBSTITUTE(SUBSTITUTE(SUBSTITUTE(E85,".",""),"-","")," ",""),"/",""))))),FALSE()))),"Revisar",IF(G85&lt;&gt;"Sim","Falta comprovante",IF(AND(B85="Educação",SUMIFS($F$6:$F$155,$B$6:$B$155,"Educação",$C$6:$C$155,C85)&gt;Parâmetros!$B$6),"Acima do limite","OK"))))</f>
        <v/>
      </c>
    </row>
    <row r="86" customFormat="false" ht="15" hidden="false" customHeight="false" outlineLevel="0" collapsed="false">
      <c r="A86" s="19"/>
      <c r="B86" s="18"/>
      <c r="C86" s="18"/>
      <c r="D86" s="18"/>
      <c r="E86" s="18"/>
      <c r="F86" s="22"/>
      <c r="G86" s="23"/>
      <c r="H86" s="18"/>
      <c r="I86" s="20" t="str">
        <f aca="false">IF(AND(B86="",F86=""),"",IF(OR(A86="",B86="",C86="",F86="",NOT(IFERROR(OR(IFERROR(AND(LEN(SUBSTITUTE(SUBSTITUTE(SUBSTITUTE(SUBSTITUTE(E86,".",""),"-","")," ",""),"/",""))=11,SUBSTITUTE(SUBSTITUTE(SUBSTITUTE(SUBSTITUTE(E86,".",""),"-","")," ",""),"/","")&lt;&gt;REPT(LEFT(SUBSTITUTE(SUBSTITUTE(SUBSTITUTE(SUBSTITUTE(E86,".",""),"-","")," ",""),"/",""),1),11),VALUE(MID(SUBSTITUTE(SUBSTITUTE(SUBSTITUTE(SUBSTITUTE(E86,".",""),"-","")," ",""),"/",""),10,1))=IF(MOD(SUMPRODUCT(--MID(SUBSTITUTE(SUBSTITUTE(SUBSTITUTE(SUBSTITUTE(E86,".",""),"-","")," ",""),"/",""),{1,2,3,4,5,6,7,8,9},1),{10,9,8,7,6,5,4,3,2}),11)&lt;2,0,11-MOD(SUMPRODUCT(--MID(SUBSTITUTE(SUBSTITUTE(SUBSTITUTE(SUBSTITUTE(E86,".",""),"-","")," ",""),"/",""),{1,2,3,4,5,6,7,8,9},1),{10,9,8,7,6,5,4,3,2}),11)),VALUE(MID(SUBSTITUTE(SUBSTITUTE(SUBSTITUTE(SUBSTITUTE(E86,".",""),"-","")," ",""),"/",""),11,1))=IF(MOD(SUMPRODUCT(--MID(SUBSTITUTE(SUBSTITUTE(SUBSTITUTE(SUBSTITUTE(E86,".",""),"-","")," ",""),"/",""),{1,2,3,4,5,6,7,8,9,10},1),{11,10,9,8,7,6,5,4,3,2}),11)&lt;2,0,11-MOD(SUMPRODUCT(--MID(SUBSTITUTE(SUBSTITUTE(SUBSTITUTE(SUBSTITUTE(E86,".",""),"-","")," ",""),"/",""),{1,2,3,4,5,6,7,8,9,10},1),{11,10,9,8,7,6,5,4,3,2}),11))),FALSE()),AND(LEN(SUBSTITUTE(SUBSTITUTE(SUBSTITUTE(SUBSTITUTE(E86,".",""),"-","")," ",""),"/",""))=14,ISNUMBER(VALUE(SUBSTITUTE(SUBSTITUTE(SUBSTITUTE(SUBSTITUTE(E86,".",""),"-","")," ",""),"/",""))))),FALSE()))),"Revisar",IF(G86&lt;&gt;"Sim","Falta comprovante",IF(AND(B86="Educação",SUMIFS($F$6:$F$155,$B$6:$B$155,"Educação",$C$6:$C$155,C86)&gt;Parâmetros!$B$6),"Acima do limite","OK"))))</f>
        <v/>
      </c>
    </row>
    <row r="87" customFormat="false" ht="15" hidden="false" customHeight="false" outlineLevel="0" collapsed="false">
      <c r="A87" s="19"/>
      <c r="B87" s="18"/>
      <c r="C87" s="18"/>
      <c r="D87" s="18"/>
      <c r="E87" s="18"/>
      <c r="F87" s="22"/>
      <c r="G87" s="23"/>
      <c r="H87" s="18"/>
      <c r="I87" s="20" t="str">
        <f aca="false">IF(AND(B87="",F87=""),"",IF(OR(A87="",B87="",C87="",F87="",NOT(IFERROR(OR(IFERROR(AND(LEN(SUBSTITUTE(SUBSTITUTE(SUBSTITUTE(SUBSTITUTE(E87,".",""),"-","")," ",""),"/",""))=11,SUBSTITUTE(SUBSTITUTE(SUBSTITUTE(SUBSTITUTE(E87,".",""),"-","")," ",""),"/","")&lt;&gt;REPT(LEFT(SUBSTITUTE(SUBSTITUTE(SUBSTITUTE(SUBSTITUTE(E87,".",""),"-","")," ",""),"/",""),1),11),VALUE(MID(SUBSTITUTE(SUBSTITUTE(SUBSTITUTE(SUBSTITUTE(E87,".",""),"-","")," ",""),"/",""),10,1))=IF(MOD(SUMPRODUCT(--MID(SUBSTITUTE(SUBSTITUTE(SUBSTITUTE(SUBSTITUTE(E87,".",""),"-","")," ",""),"/",""),{1,2,3,4,5,6,7,8,9},1),{10,9,8,7,6,5,4,3,2}),11)&lt;2,0,11-MOD(SUMPRODUCT(--MID(SUBSTITUTE(SUBSTITUTE(SUBSTITUTE(SUBSTITUTE(E87,".",""),"-","")," ",""),"/",""),{1,2,3,4,5,6,7,8,9},1),{10,9,8,7,6,5,4,3,2}),11)),VALUE(MID(SUBSTITUTE(SUBSTITUTE(SUBSTITUTE(SUBSTITUTE(E87,".",""),"-","")," ",""),"/",""),11,1))=IF(MOD(SUMPRODUCT(--MID(SUBSTITUTE(SUBSTITUTE(SUBSTITUTE(SUBSTITUTE(E87,".",""),"-","")," ",""),"/",""),{1,2,3,4,5,6,7,8,9,10},1),{11,10,9,8,7,6,5,4,3,2}),11)&lt;2,0,11-MOD(SUMPRODUCT(--MID(SUBSTITUTE(SUBSTITUTE(SUBSTITUTE(SUBSTITUTE(E87,".",""),"-","")," ",""),"/",""),{1,2,3,4,5,6,7,8,9,10},1),{11,10,9,8,7,6,5,4,3,2}),11))),FALSE()),AND(LEN(SUBSTITUTE(SUBSTITUTE(SUBSTITUTE(SUBSTITUTE(E87,".",""),"-","")," ",""),"/",""))=14,ISNUMBER(VALUE(SUBSTITUTE(SUBSTITUTE(SUBSTITUTE(SUBSTITUTE(E87,".",""),"-","")," ",""),"/",""))))),FALSE()))),"Revisar",IF(G87&lt;&gt;"Sim","Falta comprovante",IF(AND(B87="Educação",SUMIFS($F$6:$F$155,$B$6:$B$155,"Educação",$C$6:$C$155,C87)&gt;Parâmetros!$B$6),"Acima do limite","OK"))))</f>
        <v/>
      </c>
    </row>
    <row r="88" customFormat="false" ht="15" hidden="false" customHeight="false" outlineLevel="0" collapsed="false">
      <c r="A88" s="19"/>
      <c r="B88" s="18"/>
      <c r="C88" s="18"/>
      <c r="D88" s="18"/>
      <c r="E88" s="18"/>
      <c r="F88" s="22"/>
      <c r="G88" s="23"/>
      <c r="H88" s="18"/>
      <c r="I88" s="20" t="str">
        <f aca="false">IF(AND(B88="",F88=""),"",IF(OR(A88="",B88="",C88="",F88="",NOT(IFERROR(OR(IFERROR(AND(LEN(SUBSTITUTE(SUBSTITUTE(SUBSTITUTE(SUBSTITUTE(E88,".",""),"-","")," ",""),"/",""))=11,SUBSTITUTE(SUBSTITUTE(SUBSTITUTE(SUBSTITUTE(E88,".",""),"-","")," ",""),"/","")&lt;&gt;REPT(LEFT(SUBSTITUTE(SUBSTITUTE(SUBSTITUTE(SUBSTITUTE(E88,".",""),"-","")," ",""),"/",""),1),11),VALUE(MID(SUBSTITUTE(SUBSTITUTE(SUBSTITUTE(SUBSTITUTE(E88,".",""),"-","")," ",""),"/",""),10,1))=IF(MOD(SUMPRODUCT(--MID(SUBSTITUTE(SUBSTITUTE(SUBSTITUTE(SUBSTITUTE(E88,".",""),"-","")," ",""),"/",""),{1,2,3,4,5,6,7,8,9},1),{10,9,8,7,6,5,4,3,2}),11)&lt;2,0,11-MOD(SUMPRODUCT(--MID(SUBSTITUTE(SUBSTITUTE(SUBSTITUTE(SUBSTITUTE(E88,".",""),"-","")," ",""),"/",""),{1,2,3,4,5,6,7,8,9},1),{10,9,8,7,6,5,4,3,2}),11)),VALUE(MID(SUBSTITUTE(SUBSTITUTE(SUBSTITUTE(SUBSTITUTE(E88,".",""),"-","")," ",""),"/",""),11,1))=IF(MOD(SUMPRODUCT(--MID(SUBSTITUTE(SUBSTITUTE(SUBSTITUTE(SUBSTITUTE(E88,".",""),"-","")," ",""),"/",""),{1,2,3,4,5,6,7,8,9,10},1),{11,10,9,8,7,6,5,4,3,2}),11)&lt;2,0,11-MOD(SUMPRODUCT(--MID(SUBSTITUTE(SUBSTITUTE(SUBSTITUTE(SUBSTITUTE(E88,".",""),"-","")," ",""),"/",""),{1,2,3,4,5,6,7,8,9,10},1),{11,10,9,8,7,6,5,4,3,2}),11))),FALSE()),AND(LEN(SUBSTITUTE(SUBSTITUTE(SUBSTITUTE(SUBSTITUTE(E88,".",""),"-","")," ",""),"/",""))=14,ISNUMBER(VALUE(SUBSTITUTE(SUBSTITUTE(SUBSTITUTE(SUBSTITUTE(E88,".",""),"-","")," ",""),"/",""))))),FALSE()))),"Revisar",IF(G88&lt;&gt;"Sim","Falta comprovante",IF(AND(B88="Educação",SUMIFS($F$6:$F$155,$B$6:$B$155,"Educação",$C$6:$C$155,C88)&gt;Parâmetros!$B$6),"Acima do limite","OK"))))</f>
        <v/>
      </c>
    </row>
    <row r="89" customFormat="false" ht="15" hidden="false" customHeight="false" outlineLevel="0" collapsed="false">
      <c r="A89" s="19"/>
      <c r="B89" s="18"/>
      <c r="C89" s="18"/>
      <c r="D89" s="18"/>
      <c r="E89" s="18"/>
      <c r="F89" s="22"/>
      <c r="G89" s="23"/>
      <c r="H89" s="18"/>
      <c r="I89" s="20" t="str">
        <f aca="false">IF(AND(B89="",F89=""),"",IF(OR(A89="",B89="",C89="",F89="",NOT(IFERROR(OR(IFERROR(AND(LEN(SUBSTITUTE(SUBSTITUTE(SUBSTITUTE(SUBSTITUTE(E89,".",""),"-","")," ",""),"/",""))=11,SUBSTITUTE(SUBSTITUTE(SUBSTITUTE(SUBSTITUTE(E89,".",""),"-","")," ",""),"/","")&lt;&gt;REPT(LEFT(SUBSTITUTE(SUBSTITUTE(SUBSTITUTE(SUBSTITUTE(E89,".",""),"-","")," ",""),"/",""),1),11),VALUE(MID(SUBSTITUTE(SUBSTITUTE(SUBSTITUTE(SUBSTITUTE(E89,".",""),"-","")," ",""),"/",""),10,1))=IF(MOD(SUMPRODUCT(--MID(SUBSTITUTE(SUBSTITUTE(SUBSTITUTE(SUBSTITUTE(E89,".",""),"-","")," ",""),"/",""),{1,2,3,4,5,6,7,8,9},1),{10,9,8,7,6,5,4,3,2}),11)&lt;2,0,11-MOD(SUMPRODUCT(--MID(SUBSTITUTE(SUBSTITUTE(SUBSTITUTE(SUBSTITUTE(E89,".",""),"-","")," ",""),"/",""),{1,2,3,4,5,6,7,8,9},1),{10,9,8,7,6,5,4,3,2}),11)),VALUE(MID(SUBSTITUTE(SUBSTITUTE(SUBSTITUTE(SUBSTITUTE(E89,".",""),"-","")," ",""),"/",""),11,1))=IF(MOD(SUMPRODUCT(--MID(SUBSTITUTE(SUBSTITUTE(SUBSTITUTE(SUBSTITUTE(E89,".",""),"-","")," ",""),"/",""),{1,2,3,4,5,6,7,8,9,10},1),{11,10,9,8,7,6,5,4,3,2}),11)&lt;2,0,11-MOD(SUMPRODUCT(--MID(SUBSTITUTE(SUBSTITUTE(SUBSTITUTE(SUBSTITUTE(E89,".",""),"-","")," ",""),"/",""),{1,2,3,4,5,6,7,8,9,10},1),{11,10,9,8,7,6,5,4,3,2}),11))),FALSE()),AND(LEN(SUBSTITUTE(SUBSTITUTE(SUBSTITUTE(SUBSTITUTE(E89,".",""),"-","")," ",""),"/",""))=14,ISNUMBER(VALUE(SUBSTITUTE(SUBSTITUTE(SUBSTITUTE(SUBSTITUTE(E89,".",""),"-","")," ",""),"/",""))))),FALSE()))),"Revisar",IF(G89&lt;&gt;"Sim","Falta comprovante",IF(AND(B89="Educação",SUMIFS($F$6:$F$155,$B$6:$B$155,"Educação",$C$6:$C$155,C89)&gt;Parâmetros!$B$6),"Acima do limite","OK"))))</f>
        <v/>
      </c>
    </row>
    <row r="90" customFormat="false" ht="15" hidden="false" customHeight="false" outlineLevel="0" collapsed="false">
      <c r="A90" s="19"/>
      <c r="B90" s="18"/>
      <c r="C90" s="18"/>
      <c r="D90" s="18"/>
      <c r="E90" s="18"/>
      <c r="F90" s="22"/>
      <c r="G90" s="23"/>
      <c r="H90" s="18"/>
      <c r="I90" s="20" t="str">
        <f aca="false">IF(AND(B90="",F90=""),"",IF(OR(A90="",B90="",C90="",F90="",NOT(IFERROR(OR(IFERROR(AND(LEN(SUBSTITUTE(SUBSTITUTE(SUBSTITUTE(SUBSTITUTE(E90,".",""),"-","")," ",""),"/",""))=11,SUBSTITUTE(SUBSTITUTE(SUBSTITUTE(SUBSTITUTE(E90,".",""),"-","")," ",""),"/","")&lt;&gt;REPT(LEFT(SUBSTITUTE(SUBSTITUTE(SUBSTITUTE(SUBSTITUTE(E90,".",""),"-","")," ",""),"/",""),1),11),VALUE(MID(SUBSTITUTE(SUBSTITUTE(SUBSTITUTE(SUBSTITUTE(E90,".",""),"-","")," ",""),"/",""),10,1))=IF(MOD(SUMPRODUCT(--MID(SUBSTITUTE(SUBSTITUTE(SUBSTITUTE(SUBSTITUTE(E90,".",""),"-","")," ",""),"/",""),{1,2,3,4,5,6,7,8,9},1),{10,9,8,7,6,5,4,3,2}),11)&lt;2,0,11-MOD(SUMPRODUCT(--MID(SUBSTITUTE(SUBSTITUTE(SUBSTITUTE(SUBSTITUTE(E90,".",""),"-","")," ",""),"/",""),{1,2,3,4,5,6,7,8,9},1),{10,9,8,7,6,5,4,3,2}),11)),VALUE(MID(SUBSTITUTE(SUBSTITUTE(SUBSTITUTE(SUBSTITUTE(E90,".",""),"-","")," ",""),"/",""),11,1))=IF(MOD(SUMPRODUCT(--MID(SUBSTITUTE(SUBSTITUTE(SUBSTITUTE(SUBSTITUTE(E90,".",""),"-","")," ",""),"/",""),{1,2,3,4,5,6,7,8,9,10},1),{11,10,9,8,7,6,5,4,3,2}),11)&lt;2,0,11-MOD(SUMPRODUCT(--MID(SUBSTITUTE(SUBSTITUTE(SUBSTITUTE(SUBSTITUTE(E90,".",""),"-","")," ",""),"/",""),{1,2,3,4,5,6,7,8,9,10},1),{11,10,9,8,7,6,5,4,3,2}),11))),FALSE()),AND(LEN(SUBSTITUTE(SUBSTITUTE(SUBSTITUTE(SUBSTITUTE(E90,".",""),"-","")," ",""),"/",""))=14,ISNUMBER(VALUE(SUBSTITUTE(SUBSTITUTE(SUBSTITUTE(SUBSTITUTE(E90,".",""),"-","")," ",""),"/",""))))),FALSE()))),"Revisar",IF(G90&lt;&gt;"Sim","Falta comprovante",IF(AND(B90="Educação",SUMIFS($F$6:$F$155,$B$6:$B$155,"Educação",$C$6:$C$155,C90)&gt;Parâmetros!$B$6),"Acima do limite","OK"))))</f>
        <v/>
      </c>
    </row>
    <row r="91" customFormat="false" ht="15" hidden="false" customHeight="false" outlineLevel="0" collapsed="false">
      <c r="A91" s="19"/>
      <c r="B91" s="18"/>
      <c r="C91" s="18"/>
      <c r="D91" s="18"/>
      <c r="E91" s="18"/>
      <c r="F91" s="22"/>
      <c r="G91" s="23"/>
      <c r="H91" s="18"/>
      <c r="I91" s="20" t="str">
        <f aca="false">IF(AND(B91="",F91=""),"",IF(OR(A91="",B91="",C91="",F91="",NOT(IFERROR(OR(IFERROR(AND(LEN(SUBSTITUTE(SUBSTITUTE(SUBSTITUTE(SUBSTITUTE(E91,".",""),"-","")," ",""),"/",""))=11,SUBSTITUTE(SUBSTITUTE(SUBSTITUTE(SUBSTITUTE(E91,".",""),"-","")," ",""),"/","")&lt;&gt;REPT(LEFT(SUBSTITUTE(SUBSTITUTE(SUBSTITUTE(SUBSTITUTE(E91,".",""),"-","")," ",""),"/",""),1),11),VALUE(MID(SUBSTITUTE(SUBSTITUTE(SUBSTITUTE(SUBSTITUTE(E91,".",""),"-","")," ",""),"/",""),10,1))=IF(MOD(SUMPRODUCT(--MID(SUBSTITUTE(SUBSTITUTE(SUBSTITUTE(SUBSTITUTE(E91,".",""),"-","")," ",""),"/",""),{1,2,3,4,5,6,7,8,9},1),{10,9,8,7,6,5,4,3,2}),11)&lt;2,0,11-MOD(SUMPRODUCT(--MID(SUBSTITUTE(SUBSTITUTE(SUBSTITUTE(SUBSTITUTE(E91,".",""),"-","")," ",""),"/",""),{1,2,3,4,5,6,7,8,9},1),{10,9,8,7,6,5,4,3,2}),11)),VALUE(MID(SUBSTITUTE(SUBSTITUTE(SUBSTITUTE(SUBSTITUTE(E91,".",""),"-","")," ",""),"/",""),11,1))=IF(MOD(SUMPRODUCT(--MID(SUBSTITUTE(SUBSTITUTE(SUBSTITUTE(SUBSTITUTE(E91,".",""),"-","")," ",""),"/",""),{1,2,3,4,5,6,7,8,9,10},1),{11,10,9,8,7,6,5,4,3,2}),11)&lt;2,0,11-MOD(SUMPRODUCT(--MID(SUBSTITUTE(SUBSTITUTE(SUBSTITUTE(SUBSTITUTE(E91,".",""),"-","")," ",""),"/",""),{1,2,3,4,5,6,7,8,9,10},1),{11,10,9,8,7,6,5,4,3,2}),11))),FALSE()),AND(LEN(SUBSTITUTE(SUBSTITUTE(SUBSTITUTE(SUBSTITUTE(E91,".",""),"-","")," ",""),"/",""))=14,ISNUMBER(VALUE(SUBSTITUTE(SUBSTITUTE(SUBSTITUTE(SUBSTITUTE(E91,".",""),"-","")," ",""),"/",""))))),FALSE()))),"Revisar",IF(G91&lt;&gt;"Sim","Falta comprovante",IF(AND(B91="Educação",SUMIFS($F$6:$F$155,$B$6:$B$155,"Educação",$C$6:$C$155,C91)&gt;Parâmetros!$B$6),"Acima do limite","OK"))))</f>
        <v/>
      </c>
    </row>
    <row r="92" customFormat="false" ht="15" hidden="false" customHeight="false" outlineLevel="0" collapsed="false">
      <c r="A92" s="19"/>
      <c r="B92" s="18"/>
      <c r="C92" s="18"/>
      <c r="D92" s="18"/>
      <c r="E92" s="18"/>
      <c r="F92" s="22"/>
      <c r="G92" s="23"/>
      <c r="H92" s="18"/>
      <c r="I92" s="20" t="str">
        <f aca="false">IF(AND(B92="",F92=""),"",IF(OR(A92="",B92="",C92="",F92="",NOT(IFERROR(OR(IFERROR(AND(LEN(SUBSTITUTE(SUBSTITUTE(SUBSTITUTE(SUBSTITUTE(E92,".",""),"-","")," ",""),"/",""))=11,SUBSTITUTE(SUBSTITUTE(SUBSTITUTE(SUBSTITUTE(E92,".",""),"-","")," ",""),"/","")&lt;&gt;REPT(LEFT(SUBSTITUTE(SUBSTITUTE(SUBSTITUTE(SUBSTITUTE(E92,".",""),"-","")," ",""),"/",""),1),11),VALUE(MID(SUBSTITUTE(SUBSTITUTE(SUBSTITUTE(SUBSTITUTE(E92,".",""),"-","")," ",""),"/",""),10,1))=IF(MOD(SUMPRODUCT(--MID(SUBSTITUTE(SUBSTITUTE(SUBSTITUTE(SUBSTITUTE(E92,".",""),"-","")," ",""),"/",""),{1,2,3,4,5,6,7,8,9},1),{10,9,8,7,6,5,4,3,2}),11)&lt;2,0,11-MOD(SUMPRODUCT(--MID(SUBSTITUTE(SUBSTITUTE(SUBSTITUTE(SUBSTITUTE(E92,".",""),"-","")," ",""),"/",""),{1,2,3,4,5,6,7,8,9},1),{10,9,8,7,6,5,4,3,2}),11)),VALUE(MID(SUBSTITUTE(SUBSTITUTE(SUBSTITUTE(SUBSTITUTE(E92,".",""),"-","")," ",""),"/",""),11,1))=IF(MOD(SUMPRODUCT(--MID(SUBSTITUTE(SUBSTITUTE(SUBSTITUTE(SUBSTITUTE(E92,".",""),"-","")," ",""),"/",""),{1,2,3,4,5,6,7,8,9,10},1),{11,10,9,8,7,6,5,4,3,2}),11)&lt;2,0,11-MOD(SUMPRODUCT(--MID(SUBSTITUTE(SUBSTITUTE(SUBSTITUTE(SUBSTITUTE(E92,".",""),"-","")," ",""),"/",""),{1,2,3,4,5,6,7,8,9,10},1),{11,10,9,8,7,6,5,4,3,2}),11))),FALSE()),AND(LEN(SUBSTITUTE(SUBSTITUTE(SUBSTITUTE(SUBSTITUTE(E92,".",""),"-","")," ",""),"/",""))=14,ISNUMBER(VALUE(SUBSTITUTE(SUBSTITUTE(SUBSTITUTE(SUBSTITUTE(E92,".",""),"-","")," ",""),"/",""))))),FALSE()))),"Revisar",IF(G92&lt;&gt;"Sim","Falta comprovante",IF(AND(B92="Educação",SUMIFS($F$6:$F$155,$B$6:$B$155,"Educação",$C$6:$C$155,C92)&gt;Parâmetros!$B$6),"Acima do limite","OK"))))</f>
        <v/>
      </c>
    </row>
    <row r="93" customFormat="false" ht="15" hidden="false" customHeight="false" outlineLevel="0" collapsed="false">
      <c r="A93" s="19"/>
      <c r="B93" s="18"/>
      <c r="C93" s="18"/>
      <c r="D93" s="18"/>
      <c r="E93" s="18"/>
      <c r="F93" s="22"/>
      <c r="G93" s="23"/>
      <c r="H93" s="18"/>
      <c r="I93" s="20" t="str">
        <f aca="false">IF(AND(B93="",F93=""),"",IF(OR(A93="",B93="",C93="",F93="",NOT(IFERROR(OR(IFERROR(AND(LEN(SUBSTITUTE(SUBSTITUTE(SUBSTITUTE(SUBSTITUTE(E93,".",""),"-","")," ",""),"/",""))=11,SUBSTITUTE(SUBSTITUTE(SUBSTITUTE(SUBSTITUTE(E93,".",""),"-","")," ",""),"/","")&lt;&gt;REPT(LEFT(SUBSTITUTE(SUBSTITUTE(SUBSTITUTE(SUBSTITUTE(E93,".",""),"-","")," ",""),"/",""),1),11),VALUE(MID(SUBSTITUTE(SUBSTITUTE(SUBSTITUTE(SUBSTITUTE(E93,".",""),"-","")," ",""),"/",""),10,1))=IF(MOD(SUMPRODUCT(--MID(SUBSTITUTE(SUBSTITUTE(SUBSTITUTE(SUBSTITUTE(E93,".",""),"-","")," ",""),"/",""),{1,2,3,4,5,6,7,8,9},1),{10,9,8,7,6,5,4,3,2}),11)&lt;2,0,11-MOD(SUMPRODUCT(--MID(SUBSTITUTE(SUBSTITUTE(SUBSTITUTE(SUBSTITUTE(E93,".",""),"-","")," ",""),"/",""),{1,2,3,4,5,6,7,8,9},1),{10,9,8,7,6,5,4,3,2}),11)),VALUE(MID(SUBSTITUTE(SUBSTITUTE(SUBSTITUTE(SUBSTITUTE(E93,".",""),"-","")," ",""),"/",""),11,1))=IF(MOD(SUMPRODUCT(--MID(SUBSTITUTE(SUBSTITUTE(SUBSTITUTE(SUBSTITUTE(E93,".",""),"-","")," ",""),"/",""),{1,2,3,4,5,6,7,8,9,10},1),{11,10,9,8,7,6,5,4,3,2}),11)&lt;2,0,11-MOD(SUMPRODUCT(--MID(SUBSTITUTE(SUBSTITUTE(SUBSTITUTE(SUBSTITUTE(E93,".",""),"-","")," ",""),"/",""),{1,2,3,4,5,6,7,8,9,10},1),{11,10,9,8,7,6,5,4,3,2}),11))),FALSE()),AND(LEN(SUBSTITUTE(SUBSTITUTE(SUBSTITUTE(SUBSTITUTE(E93,".",""),"-","")," ",""),"/",""))=14,ISNUMBER(VALUE(SUBSTITUTE(SUBSTITUTE(SUBSTITUTE(SUBSTITUTE(E93,".",""),"-","")," ",""),"/",""))))),FALSE()))),"Revisar",IF(G93&lt;&gt;"Sim","Falta comprovante",IF(AND(B93="Educação",SUMIFS($F$6:$F$155,$B$6:$B$155,"Educação",$C$6:$C$155,C93)&gt;Parâmetros!$B$6),"Acima do limite","OK"))))</f>
        <v/>
      </c>
    </row>
    <row r="94" customFormat="false" ht="15" hidden="false" customHeight="false" outlineLevel="0" collapsed="false">
      <c r="A94" s="19"/>
      <c r="B94" s="18"/>
      <c r="C94" s="18"/>
      <c r="D94" s="18"/>
      <c r="E94" s="18"/>
      <c r="F94" s="22"/>
      <c r="G94" s="23"/>
      <c r="H94" s="18"/>
      <c r="I94" s="20" t="str">
        <f aca="false">IF(AND(B94="",F94=""),"",IF(OR(A94="",B94="",C94="",F94="",NOT(IFERROR(OR(IFERROR(AND(LEN(SUBSTITUTE(SUBSTITUTE(SUBSTITUTE(SUBSTITUTE(E94,".",""),"-","")," ",""),"/",""))=11,SUBSTITUTE(SUBSTITUTE(SUBSTITUTE(SUBSTITUTE(E94,".",""),"-","")," ",""),"/","")&lt;&gt;REPT(LEFT(SUBSTITUTE(SUBSTITUTE(SUBSTITUTE(SUBSTITUTE(E94,".",""),"-","")," ",""),"/",""),1),11),VALUE(MID(SUBSTITUTE(SUBSTITUTE(SUBSTITUTE(SUBSTITUTE(E94,".",""),"-","")," ",""),"/",""),10,1))=IF(MOD(SUMPRODUCT(--MID(SUBSTITUTE(SUBSTITUTE(SUBSTITUTE(SUBSTITUTE(E94,".",""),"-","")," ",""),"/",""),{1,2,3,4,5,6,7,8,9},1),{10,9,8,7,6,5,4,3,2}),11)&lt;2,0,11-MOD(SUMPRODUCT(--MID(SUBSTITUTE(SUBSTITUTE(SUBSTITUTE(SUBSTITUTE(E94,".",""),"-","")," ",""),"/",""),{1,2,3,4,5,6,7,8,9},1),{10,9,8,7,6,5,4,3,2}),11)),VALUE(MID(SUBSTITUTE(SUBSTITUTE(SUBSTITUTE(SUBSTITUTE(E94,".",""),"-","")," ",""),"/",""),11,1))=IF(MOD(SUMPRODUCT(--MID(SUBSTITUTE(SUBSTITUTE(SUBSTITUTE(SUBSTITUTE(E94,".",""),"-","")," ",""),"/",""),{1,2,3,4,5,6,7,8,9,10},1),{11,10,9,8,7,6,5,4,3,2}),11)&lt;2,0,11-MOD(SUMPRODUCT(--MID(SUBSTITUTE(SUBSTITUTE(SUBSTITUTE(SUBSTITUTE(E94,".",""),"-","")," ",""),"/",""),{1,2,3,4,5,6,7,8,9,10},1),{11,10,9,8,7,6,5,4,3,2}),11))),FALSE()),AND(LEN(SUBSTITUTE(SUBSTITUTE(SUBSTITUTE(SUBSTITUTE(E94,".",""),"-","")," ",""),"/",""))=14,ISNUMBER(VALUE(SUBSTITUTE(SUBSTITUTE(SUBSTITUTE(SUBSTITUTE(E94,".",""),"-","")," ",""),"/",""))))),FALSE()))),"Revisar",IF(G94&lt;&gt;"Sim","Falta comprovante",IF(AND(B94="Educação",SUMIFS($F$6:$F$155,$B$6:$B$155,"Educação",$C$6:$C$155,C94)&gt;Parâmetros!$B$6),"Acima do limite","OK"))))</f>
        <v/>
      </c>
    </row>
    <row r="95" customFormat="false" ht="15" hidden="false" customHeight="false" outlineLevel="0" collapsed="false">
      <c r="A95" s="19"/>
      <c r="B95" s="18"/>
      <c r="C95" s="18"/>
      <c r="D95" s="18"/>
      <c r="E95" s="18"/>
      <c r="F95" s="22"/>
      <c r="G95" s="23"/>
      <c r="H95" s="18"/>
      <c r="I95" s="20" t="str">
        <f aca="false">IF(AND(B95="",F95=""),"",IF(OR(A95="",B95="",C95="",F95="",NOT(IFERROR(OR(IFERROR(AND(LEN(SUBSTITUTE(SUBSTITUTE(SUBSTITUTE(SUBSTITUTE(E95,".",""),"-","")," ",""),"/",""))=11,SUBSTITUTE(SUBSTITUTE(SUBSTITUTE(SUBSTITUTE(E95,".",""),"-","")," ",""),"/","")&lt;&gt;REPT(LEFT(SUBSTITUTE(SUBSTITUTE(SUBSTITUTE(SUBSTITUTE(E95,".",""),"-","")," ",""),"/",""),1),11),VALUE(MID(SUBSTITUTE(SUBSTITUTE(SUBSTITUTE(SUBSTITUTE(E95,".",""),"-","")," ",""),"/",""),10,1))=IF(MOD(SUMPRODUCT(--MID(SUBSTITUTE(SUBSTITUTE(SUBSTITUTE(SUBSTITUTE(E95,".",""),"-","")," ",""),"/",""),{1,2,3,4,5,6,7,8,9},1),{10,9,8,7,6,5,4,3,2}),11)&lt;2,0,11-MOD(SUMPRODUCT(--MID(SUBSTITUTE(SUBSTITUTE(SUBSTITUTE(SUBSTITUTE(E95,".",""),"-","")," ",""),"/",""),{1,2,3,4,5,6,7,8,9},1),{10,9,8,7,6,5,4,3,2}),11)),VALUE(MID(SUBSTITUTE(SUBSTITUTE(SUBSTITUTE(SUBSTITUTE(E95,".",""),"-","")," ",""),"/",""),11,1))=IF(MOD(SUMPRODUCT(--MID(SUBSTITUTE(SUBSTITUTE(SUBSTITUTE(SUBSTITUTE(E95,".",""),"-","")," ",""),"/",""),{1,2,3,4,5,6,7,8,9,10},1),{11,10,9,8,7,6,5,4,3,2}),11)&lt;2,0,11-MOD(SUMPRODUCT(--MID(SUBSTITUTE(SUBSTITUTE(SUBSTITUTE(SUBSTITUTE(E95,".",""),"-","")," ",""),"/",""),{1,2,3,4,5,6,7,8,9,10},1),{11,10,9,8,7,6,5,4,3,2}),11))),FALSE()),AND(LEN(SUBSTITUTE(SUBSTITUTE(SUBSTITUTE(SUBSTITUTE(E95,".",""),"-","")," ",""),"/",""))=14,ISNUMBER(VALUE(SUBSTITUTE(SUBSTITUTE(SUBSTITUTE(SUBSTITUTE(E95,".",""),"-","")," ",""),"/",""))))),FALSE()))),"Revisar",IF(G95&lt;&gt;"Sim","Falta comprovante",IF(AND(B95="Educação",SUMIFS($F$6:$F$155,$B$6:$B$155,"Educação",$C$6:$C$155,C95)&gt;Parâmetros!$B$6),"Acima do limite","OK"))))</f>
        <v/>
      </c>
    </row>
    <row r="96" customFormat="false" ht="15" hidden="false" customHeight="false" outlineLevel="0" collapsed="false">
      <c r="A96" s="19"/>
      <c r="B96" s="18"/>
      <c r="C96" s="18"/>
      <c r="D96" s="18"/>
      <c r="E96" s="18"/>
      <c r="F96" s="22"/>
      <c r="G96" s="23"/>
      <c r="H96" s="18"/>
      <c r="I96" s="20" t="str">
        <f aca="false">IF(AND(B96="",F96=""),"",IF(OR(A96="",B96="",C96="",F96="",NOT(IFERROR(OR(IFERROR(AND(LEN(SUBSTITUTE(SUBSTITUTE(SUBSTITUTE(SUBSTITUTE(E96,".",""),"-","")," ",""),"/",""))=11,SUBSTITUTE(SUBSTITUTE(SUBSTITUTE(SUBSTITUTE(E96,".",""),"-","")," ",""),"/","")&lt;&gt;REPT(LEFT(SUBSTITUTE(SUBSTITUTE(SUBSTITUTE(SUBSTITUTE(E96,".",""),"-","")," ",""),"/",""),1),11),VALUE(MID(SUBSTITUTE(SUBSTITUTE(SUBSTITUTE(SUBSTITUTE(E96,".",""),"-","")," ",""),"/",""),10,1))=IF(MOD(SUMPRODUCT(--MID(SUBSTITUTE(SUBSTITUTE(SUBSTITUTE(SUBSTITUTE(E96,".",""),"-","")," ",""),"/",""),{1,2,3,4,5,6,7,8,9},1),{10,9,8,7,6,5,4,3,2}),11)&lt;2,0,11-MOD(SUMPRODUCT(--MID(SUBSTITUTE(SUBSTITUTE(SUBSTITUTE(SUBSTITUTE(E96,".",""),"-","")," ",""),"/",""),{1,2,3,4,5,6,7,8,9},1),{10,9,8,7,6,5,4,3,2}),11)),VALUE(MID(SUBSTITUTE(SUBSTITUTE(SUBSTITUTE(SUBSTITUTE(E96,".",""),"-","")," ",""),"/",""),11,1))=IF(MOD(SUMPRODUCT(--MID(SUBSTITUTE(SUBSTITUTE(SUBSTITUTE(SUBSTITUTE(E96,".",""),"-","")," ",""),"/",""),{1,2,3,4,5,6,7,8,9,10},1),{11,10,9,8,7,6,5,4,3,2}),11)&lt;2,0,11-MOD(SUMPRODUCT(--MID(SUBSTITUTE(SUBSTITUTE(SUBSTITUTE(SUBSTITUTE(E96,".",""),"-","")," ",""),"/",""),{1,2,3,4,5,6,7,8,9,10},1),{11,10,9,8,7,6,5,4,3,2}),11))),FALSE()),AND(LEN(SUBSTITUTE(SUBSTITUTE(SUBSTITUTE(SUBSTITUTE(E96,".",""),"-","")," ",""),"/",""))=14,ISNUMBER(VALUE(SUBSTITUTE(SUBSTITUTE(SUBSTITUTE(SUBSTITUTE(E96,".",""),"-","")," ",""),"/",""))))),FALSE()))),"Revisar",IF(G96&lt;&gt;"Sim","Falta comprovante",IF(AND(B96="Educação",SUMIFS($F$6:$F$155,$B$6:$B$155,"Educação",$C$6:$C$155,C96)&gt;Parâmetros!$B$6),"Acima do limite","OK"))))</f>
        <v/>
      </c>
    </row>
    <row r="97" customFormat="false" ht="15" hidden="false" customHeight="false" outlineLevel="0" collapsed="false">
      <c r="A97" s="19"/>
      <c r="B97" s="18"/>
      <c r="C97" s="18"/>
      <c r="D97" s="18"/>
      <c r="E97" s="18"/>
      <c r="F97" s="22"/>
      <c r="G97" s="23"/>
      <c r="H97" s="18"/>
      <c r="I97" s="20" t="str">
        <f aca="false">IF(AND(B97="",F97=""),"",IF(OR(A97="",B97="",C97="",F97="",NOT(IFERROR(OR(IFERROR(AND(LEN(SUBSTITUTE(SUBSTITUTE(SUBSTITUTE(SUBSTITUTE(E97,".",""),"-","")," ",""),"/",""))=11,SUBSTITUTE(SUBSTITUTE(SUBSTITUTE(SUBSTITUTE(E97,".",""),"-","")," ",""),"/","")&lt;&gt;REPT(LEFT(SUBSTITUTE(SUBSTITUTE(SUBSTITUTE(SUBSTITUTE(E97,".",""),"-","")," ",""),"/",""),1),11),VALUE(MID(SUBSTITUTE(SUBSTITUTE(SUBSTITUTE(SUBSTITUTE(E97,".",""),"-","")," ",""),"/",""),10,1))=IF(MOD(SUMPRODUCT(--MID(SUBSTITUTE(SUBSTITUTE(SUBSTITUTE(SUBSTITUTE(E97,".",""),"-","")," ",""),"/",""),{1,2,3,4,5,6,7,8,9},1),{10,9,8,7,6,5,4,3,2}),11)&lt;2,0,11-MOD(SUMPRODUCT(--MID(SUBSTITUTE(SUBSTITUTE(SUBSTITUTE(SUBSTITUTE(E97,".",""),"-","")," ",""),"/",""),{1,2,3,4,5,6,7,8,9},1),{10,9,8,7,6,5,4,3,2}),11)),VALUE(MID(SUBSTITUTE(SUBSTITUTE(SUBSTITUTE(SUBSTITUTE(E97,".",""),"-","")," ",""),"/",""),11,1))=IF(MOD(SUMPRODUCT(--MID(SUBSTITUTE(SUBSTITUTE(SUBSTITUTE(SUBSTITUTE(E97,".",""),"-","")," ",""),"/",""),{1,2,3,4,5,6,7,8,9,10},1),{11,10,9,8,7,6,5,4,3,2}),11)&lt;2,0,11-MOD(SUMPRODUCT(--MID(SUBSTITUTE(SUBSTITUTE(SUBSTITUTE(SUBSTITUTE(E97,".",""),"-","")," ",""),"/",""),{1,2,3,4,5,6,7,8,9,10},1),{11,10,9,8,7,6,5,4,3,2}),11))),FALSE()),AND(LEN(SUBSTITUTE(SUBSTITUTE(SUBSTITUTE(SUBSTITUTE(E97,".",""),"-","")," ",""),"/",""))=14,ISNUMBER(VALUE(SUBSTITUTE(SUBSTITUTE(SUBSTITUTE(SUBSTITUTE(E97,".",""),"-","")," ",""),"/",""))))),FALSE()))),"Revisar",IF(G97&lt;&gt;"Sim","Falta comprovante",IF(AND(B97="Educação",SUMIFS($F$6:$F$155,$B$6:$B$155,"Educação",$C$6:$C$155,C97)&gt;Parâmetros!$B$6),"Acima do limite","OK"))))</f>
        <v/>
      </c>
    </row>
    <row r="98" customFormat="false" ht="15" hidden="false" customHeight="false" outlineLevel="0" collapsed="false">
      <c r="A98" s="19"/>
      <c r="B98" s="18"/>
      <c r="C98" s="18"/>
      <c r="D98" s="18"/>
      <c r="E98" s="18"/>
      <c r="F98" s="22"/>
      <c r="G98" s="23"/>
      <c r="H98" s="18"/>
      <c r="I98" s="20" t="str">
        <f aca="false">IF(AND(B98="",F98=""),"",IF(OR(A98="",B98="",C98="",F98="",NOT(IFERROR(OR(IFERROR(AND(LEN(SUBSTITUTE(SUBSTITUTE(SUBSTITUTE(SUBSTITUTE(E98,".",""),"-","")," ",""),"/",""))=11,SUBSTITUTE(SUBSTITUTE(SUBSTITUTE(SUBSTITUTE(E98,".",""),"-","")," ",""),"/","")&lt;&gt;REPT(LEFT(SUBSTITUTE(SUBSTITUTE(SUBSTITUTE(SUBSTITUTE(E98,".",""),"-","")," ",""),"/",""),1),11),VALUE(MID(SUBSTITUTE(SUBSTITUTE(SUBSTITUTE(SUBSTITUTE(E98,".",""),"-","")," ",""),"/",""),10,1))=IF(MOD(SUMPRODUCT(--MID(SUBSTITUTE(SUBSTITUTE(SUBSTITUTE(SUBSTITUTE(E98,".",""),"-","")," ",""),"/",""),{1,2,3,4,5,6,7,8,9},1),{10,9,8,7,6,5,4,3,2}),11)&lt;2,0,11-MOD(SUMPRODUCT(--MID(SUBSTITUTE(SUBSTITUTE(SUBSTITUTE(SUBSTITUTE(E98,".",""),"-","")," ",""),"/",""),{1,2,3,4,5,6,7,8,9},1),{10,9,8,7,6,5,4,3,2}),11)),VALUE(MID(SUBSTITUTE(SUBSTITUTE(SUBSTITUTE(SUBSTITUTE(E98,".",""),"-","")," ",""),"/",""),11,1))=IF(MOD(SUMPRODUCT(--MID(SUBSTITUTE(SUBSTITUTE(SUBSTITUTE(SUBSTITUTE(E98,".",""),"-","")," ",""),"/",""),{1,2,3,4,5,6,7,8,9,10},1),{11,10,9,8,7,6,5,4,3,2}),11)&lt;2,0,11-MOD(SUMPRODUCT(--MID(SUBSTITUTE(SUBSTITUTE(SUBSTITUTE(SUBSTITUTE(E98,".",""),"-","")," ",""),"/",""),{1,2,3,4,5,6,7,8,9,10},1),{11,10,9,8,7,6,5,4,3,2}),11))),FALSE()),AND(LEN(SUBSTITUTE(SUBSTITUTE(SUBSTITUTE(SUBSTITUTE(E98,".",""),"-","")," ",""),"/",""))=14,ISNUMBER(VALUE(SUBSTITUTE(SUBSTITUTE(SUBSTITUTE(SUBSTITUTE(E98,".",""),"-","")," ",""),"/",""))))),FALSE()))),"Revisar",IF(G98&lt;&gt;"Sim","Falta comprovante",IF(AND(B98="Educação",SUMIFS($F$6:$F$155,$B$6:$B$155,"Educação",$C$6:$C$155,C98)&gt;Parâmetros!$B$6),"Acima do limite","OK"))))</f>
        <v/>
      </c>
    </row>
    <row r="99" customFormat="false" ht="15" hidden="false" customHeight="false" outlineLevel="0" collapsed="false">
      <c r="A99" s="19"/>
      <c r="B99" s="18"/>
      <c r="C99" s="18"/>
      <c r="D99" s="18"/>
      <c r="E99" s="18"/>
      <c r="F99" s="22"/>
      <c r="G99" s="23"/>
      <c r="H99" s="18"/>
      <c r="I99" s="20" t="str">
        <f aca="false">IF(AND(B99="",F99=""),"",IF(OR(A99="",B99="",C99="",F99="",NOT(IFERROR(OR(IFERROR(AND(LEN(SUBSTITUTE(SUBSTITUTE(SUBSTITUTE(SUBSTITUTE(E99,".",""),"-","")," ",""),"/",""))=11,SUBSTITUTE(SUBSTITUTE(SUBSTITUTE(SUBSTITUTE(E99,".",""),"-","")," ",""),"/","")&lt;&gt;REPT(LEFT(SUBSTITUTE(SUBSTITUTE(SUBSTITUTE(SUBSTITUTE(E99,".",""),"-","")," ",""),"/",""),1),11),VALUE(MID(SUBSTITUTE(SUBSTITUTE(SUBSTITUTE(SUBSTITUTE(E99,".",""),"-","")," ",""),"/",""),10,1))=IF(MOD(SUMPRODUCT(--MID(SUBSTITUTE(SUBSTITUTE(SUBSTITUTE(SUBSTITUTE(E99,".",""),"-","")," ",""),"/",""),{1,2,3,4,5,6,7,8,9},1),{10,9,8,7,6,5,4,3,2}),11)&lt;2,0,11-MOD(SUMPRODUCT(--MID(SUBSTITUTE(SUBSTITUTE(SUBSTITUTE(SUBSTITUTE(E99,".",""),"-","")," ",""),"/",""),{1,2,3,4,5,6,7,8,9},1),{10,9,8,7,6,5,4,3,2}),11)),VALUE(MID(SUBSTITUTE(SUBSTITUTE(SUBSTITUTE(SUBSTITUTE(E99,".",""),"-","")," ",""),"/",""),11,1))=IF(MOD(SUMPRODUCT(--MID(SUBSTITUTE(SUBSTITUTE(SUBSTITUTE(SUBSTITUTE(E99,".",""),"-","")," ",""),"/",""),{1,2,3,4,5,6,7,8,9,10},1),{11,10,9,8,7,6,5,4,3,2}),11)&lt;2,0,11-MOD(SUMPRODUCT(--MID(SUBSTITUTE(SUBSTITUTE(SUBSTITUTE(SUBSTITUTE(E99,".",""),"-","")," ",""),"/",""),{1,2,3,4,5,6,7,8,9,10},1),{11,10,9,8,7,6,5,4,3,2}),11))),FALSE()),AND(LEN(SUBSTITUTE(SUBSTITUTE(SUBSTITUTE(SUBSTITUTE(E99,".",""),"-","")," ",""),"/",""))=14,ISNUMBER(VALUE(SUBSTITUTE(SUBSTITUTE(SUBSTITUTE(SUBSTITUTE(E99,".",""),"-","")," ",""),"/",""))))),FALSE()))),"Revisar",IF(G99&lt;&gt;"Sim","Falta comprovante",IF(AND(B99="Educação",SUMIFS($F$6:$F$155,$B$6:$B$155,"Educação",$C$6:$C$155,C99)&gt;Parâmetros!$B$6),"Acima do limite","OK"))))</f>
        <v/>
      </c>
    </row>
    <row r="100" customFormat="false" ht="15" hidden="false" customHeight="false" outlineLevel="0" collapsed="false">
      <c r="A100" s="19"/>
      <c r="B100" s="18"/>
      <c r="C100" s="18"/>
      <c r="D100" s="18"/>
      <c r="E100" s="18"/>
      <c r="F100" s="22"/>
      <c r="G100" s="23"/>
      <c r="H100" s="18"/>
      <c r="I100" s="20" t="str">
        <f aca="false">IF(AND(B100="",F100=""),"",IF(OR(A100="",B100="",C100="",F100="",NOT(IFERROR(OR(IFERROR(AND(LEN(SUBSTITUTE(SUBSTITUTE(SUBSTITUTE(SUBSTITUTE(E100,".",""),"-","")," ",""),"/",""))=11,SUBSTITUTE(SUBSTITUTE(SUBSTITUTE(SUBSTITUTE(E100,".",""),"-","")," ",""),"/","")&lt;&gt;REPT(LEFT(SUBSTITUTE(SUBSTITUTE(SUBSTITUTE(SUBSTITUTE(E100,".",""),"-","")," ",""),"/",""),1),11),VALUE(MID(SUBSTITUTE(SUBSTITUTE(SUBSTITUTE(SUBSTITUTE(E100,".",""),"-","")," ",""),"/",""),10,1))=IF(MOD(SUMPRODUCT(--MID(SUBSTITUTE(SUBSTITUTE(SUBSTITUTE(SUBSTITUTE(E100,".",""),"-","")," ",""),"/",""),{1,2,3,4,5,6,7,8,9},1),{10,9,8,7,6,5,4,3,2}),11)&lt;2,0,11-MOD(SUMPRODUCT(--MID(SUBSTITUTE(SUBSTITUTE(SUBSTITUTE(SUBSTITUTE(E100,".",""),"-","")," ",""),"/",""),{1,2,3,4,5,6,7,8,9},1),{10,9,8,7,6,5,4,3,2}),11)),VALUE(MID(SUBSTITUTE(SUBSTITUTE(SUBSTITUTE(SUBSTITUTE(E100,".",""),"-","")," ",""),"/",""),11,1))=IF(MOD(SUMPRODUCT(--MID(SUBSTITUTE(SUBSTITUTE(SUBSTITUTE(SUBSTITUTE(E100,".",""),"-","")," ",""),"/",""),{1,2,3,4,5,6,7,8,9,10},1),{11,10,9,8,7,6,5,4,3,2}),11)&lt;2,0,11-MOD(SUMPRODUCT(--MID(SUBSTITUTE(SUBSTITUTE(SUBSTITUTE(SUBSTITUTE(E100,".",""),"-","")," ",""),"/",""),{1,2,3,4,5,6,7,8,9,10},1),{11,10,9,8,7,6,5,4,3,2}),11))),FALSE()),AND(LEN(SUBSTITUTE(SUBSTITUTE(SUBSTITUTE(SUBSTITUTE(E100,".",""),"-","")," ",""),"/",""))=14,ISNUMBER(VALUE(SUBSTITUTE(SUBSTITUTE(SUBSTITUTE(SUBSTITUTE(E100,".",""),"-","")," ",""),"/",""))))),FALSE()))),"Revisar",IF(G100&lt;&gt;"Sim","Falta comprovante",IF(AND(B100="Educação",SUMIFS($F$6:$F$155,$B$6:$B$155,"Educação",$C$6:$C$155,C100)&gt;Parâmetros!$B$6),"Acima do limite","OK"))))</f>
        <v/>
      </c>
    </row>
    <row r="101" customFormat="false" ht="15" hidden="false" customHeight="false" outlineLevel="0" collapsed="false">
      <c r="A101" s="19"/>
      <c r="B101" s="18"/>
      <c r="C101" s="18"/>
      <c r="D101" s="18"/>
      <c r="E101" s="18"/>
      <c r="F101" s="22"/>
      <c r="G101" s="23"/>
      <c r="H101" s="18"/>
      <c r="I101" s="20" t="str">
        <f aca="false">IF(AND(B101="",F101=""),"",IF(OR(A101="",B101="",C101="",F101="",NOT(IFERROR(OR(IFERROR(AND(LEN(SUBSTITUTE(SUBSTITUTE(SUBSTITUTE(SUBSTITUTE(E101,".",""),"-","")," ",""),"/",""))=11,SUBSTITUTE(SUBSTITUTE(SUBSTITUTE(SUBSTITUTE(E101,".",""),"-","")," ",""),"/","")&lt;&gt;REPT(LEFT(SUBSTITUTE(SUBSTITUTE(SUBSTITUTE(SUBSTITUTE(E101,".",""),"-","")," ",""),"/",""),1),11),VALUE(MID(SUBSTITUTE(SUBSTITUTE(SUBSTITUTE(SUBSTITUTE(E101,".",""),"-","")," ",""),"/",""),10,1))=IF(MOD(SUMPRODUCT(--MID(SUBSTITUTE(SUBSTITUTE(SUBSTITUTE(SUBSTITUTE(E101,".",""),"-","")," ",""),"/",""),{1,2,3,4,5,6,7,8,9},1),{10,9,8,7,6,5,4,3,2}),11)&lt;2,0,11-MOD(SUMPRODUCT(--MID(SUBSTITUTE(SUBSTITUTE(SUBSTITUTE(SUBSTITUTE(E101,".",""),"-","")," ",""),"/",""),{1,2,3,4,5,6,7,8,9},1),{10,9,8,7,6,5,4,3,2}),11)),VALUE(MID(SUBSTITUTE(SUBSTITUTE(SUBSTITUTE(SUBSTITUTE(E101,".",""),"-","")," ",""),"/",""),11,1))=IF(MOD(SUMPRODUCT(--MID(SUBSTITUTE(SUBSTITUTE(SUBSTITUTE(SUBSTITUTE(E101,".",""),"-","")," ",""),"/",""),{1,2,3,4,5,6,7,8,9,10},1),{11,10,9,8,7,6,5,4,3,2}),11)&lt;2,0,11-MOD(SUMPRODUCT(--MID(SUBSTITUTE(SUBSTITUTE(SUBSTITUTE(SUBSTITUTE(E101,".",""),"-","")," ",""),"/",""),{1,2,3,4,5,6,7,8,9,10},1),{11,10,9,8,7,6,5,4,3,2}),11))),FALSE()),AND(LEN(SUBSTITUTE(SUBSTITUTE(SUBSTITUTE(SUBSTITUTE(E101,".",""),"-","")," ",""),"/",""))=14,ISNUMBER(VALUE(SUBSTITUTE(SUBSTITUTE(SUBSTITUTE(SUBSTITUTE(E101,".",""),"-","")," ",""),"/",""))))),FALSE()))),"Revisar",IF(G101&lt;&gt;"Sim","Falta comprovante",IF(AND(B101="Educação",SUMIFS($F$6:$F$155,$B$6:$B$155,"Educação",$C$6:$C$155,C101)&gt;Parâmetros!$B$6),"Acima do limite","OK"))))</f>
        <v/>
      </c>
    </row>
    <row r="102" customFormat="false" ht="15" hidden="false" customHeight="false" outlineLevel="0" collapsed="false">
      <c r="A102" s="19"/>
      <c r="B102" s="18"/>
      <c r="C102" s="18"/>
      <c r="D102" s="18"/>
      <c r="E102" s="18"/>
      <c r="F102" s="22"/>
      <c r="G102" s="23"/>
      <c r="H102" s="18"/>
      <c r="I102" s="20" t="str">
        <f aca="false">IF(AND(B102="",F102=""),"",IF(OR(A102="",B102="",C102="",F102="",NOT(IFERROR(OR(IFERROR(AND(LEN(SUBSTITUTE(SUBSTITUTE(SUBSTITUTE(SUBSTITUTE(E102,".",""),"-","")," ",""),"/",""))=11,SUBSTITUTE(SUBSTITUTE(SUBSTITUTE(SUBSTITUTE(E102,".",""),"-","")," ",""),"/","")&lt;&gt;REPT(LEFT(SUBSTITUTE(SUBSTITUTE(SUBSTITUTE(SUBSTITUTE(E102,".",""),"-","")," ",""),"/",""),1),11),VALUE(MID(SUBSTITUTE(SUBSTITUTE(SUBSTITUTE(SUBSTITUTE(E102,".",""),"-","")," ",""),"/",""),10,1))=IF(MOD(SUMPRODUCT(--MID(SUBSTITUTE(SUBSTITUTE(SUBSTITUTE(SUBSTITUTE(E102,".",""),"-","")," ",""),"/",""),{1,2,3,4,5,6,7,8,9},1),{10,9,8,7,6,5,4,3,2}),11)&lt;2,0,11-MOD(SUMPRODUCT(--MID(SUBSTITUTE(SUBSTITUTE(SUBSTITUTE(SUBSTITUTE(E102,".",""),"-","")," ",""),"/",""),{1,2,3,4,5,6,7,8,9},1),{10,9,8,7,6,5,4,3,2}),11)),VALUE(MID(SUBSTITUTE(SUBSTITUTE(SUBSTITUTE(SUBSTITUTE(E102,".",""),"-","")," ",""),"/",""),11,1))=IF(MOD(SUMPRODUCT(--MID(SUBSTITUTE(SUBSTITUTE(SUBSTITUTE(SUBSTITUTE(E102,".",""),"-","")," ",""),"/",""),{1,2,3,4,5,6,7,8,9,10},1),{11,10,9,8,7,6,5,4,3,2}),11)&lt;2,0,11-MOD(SUMPRODUCT(--MID(SUBSTITUTE(SUBSTITUTE(SUBSTITUTE(SUBSTITUTE(E102,".",""),"-","")," ",""),"/",""),{1,2,3,4,5,6,7,8,9,10},1),{11,10,9,8,7,6,5,4,3,2}),11))),FALSE()),AND(LEN(SUBSTITUTE(SUBSTITUTE(SUBSTITUTE(SUBSTITUTE(E102,".",""),"-","")," ",""),"/",""))=14,ISNUMBER(VALUE(SUBSTITUTE(SUBSTITUTE(SUBSTITUTE(SUBSTITUTE(E102,".",""),"-","")," ",""),"/",""))))),FALSE()))),"Revisar",IF(G102&lt;&gt;"Sim","Falta comprovante",IF(AND(B102="Educação",SUMIFS($F$6:$F$155,$B$6:$B$155,"Educação",$C$6:$C$155,C102)&gt;Parâmetros!$B$6),"Acima do limite","OK"))))</f>
        <v/>
      </c>
    </row>
    <row r="103" customFormat="false" ht="15" hidden="false" customHeight="false" outlineLevel="0" collapsed="false">
      <c r="A103" s="19"/>
      <c r="B103" s="18"/>
      <c r="C103" s="18"/>
      <c r="D103" s="18"/>
      <c r="E103" s="18"/>
      <c r="F103" s="22"/>
      <c r="G103" s="23"/>
      <c r="H103" s="18"/>
      <c r="I103" s="20" t="str">
        <f aca="false">IF(AND(B103="",F103=""),"",IF(OR(A103="",B103="",C103="",F103="",NOT(IFERROR(OR(IFERROR(AND(LEN(SUBSTITUTE(SUBSTITUTE(SUBSTITUTE(SUBSTITUTE(E103,".",""),"-","")," ",""),"/",""))=11,SUBSTITUTE(SUBSTITUTE(SUBSTITUTE(SUBSTITUTE(E103,".",""),"-","")," ",""),"/","")&lt;&gt;REPT(LEFT(SUBSTITUTE(SUBSTITUTE(SUBSTITUTE(SUBSTITUTE(E103,".",""),"-","")," ",""),"/",""),1),11),VALUE(MID(SUBSTITUTE(SUBSTITUTE(SUBSTITUTE(SUBSTITUTE(E103,".",""),"-","")," ",""),"/",""),10,1))=IF(MOD(SUMPRODUCT(--MID(SUBSTITUTE(SUBSTITUTE(SUBSTITUTE(SUBSTITUTE(E103,".",""),"-","")," ",""),"/",""),{1,2,3,4,5,6,7,8,9},1),{10,9,8,7,6,5,4,3,2}),11)&lt;2,0,11-MOD(SUMPRODUCT(--MID(SUBSTITUTE(SUBSTITUTE(SUBSTITUTE(SUBSTITUTE(E103,".",""),"-","")," ",""),"/",""),{1,2,3,4,5,6,7,8,9},1),{10,9,8,7,6,5,4,3,2}),11)),VALUE(MID(SUBSTITUTE(SUBSTITUTE(SUBSTITUTE(SUBSTITUTE(E103,".",""),"-","")," ",""),"/",""),11,1))=IF(MOD(SUMPRODUCT(--MID(SUBSTITUTE(SUBSTITUTE(SUBSTITUTE(SUBSTITUTE(E103,".",""),"-","")," ",""),"/",""),{1,2,3,4,5,6,7,8,9,10},1),{11,10,9,8,7,6,5,4,3,2}),11)&lt;2,0,11-MOD(SUMPRODUCT(--MID(SUBSTITUTE(SUBSTITUTE(SUBSTITUTE(SUBSTITUTE(E103,".",""),"-","")," ",""),"/",""),{1,2,3,4,5,6,7,8,9,10},1),{11,10,9,8,7,6,5,4,3,2}),11))),FALSE()),AND(LEN(SUBSTITUTE(SUBSTITUTE(SUBSTITUTE(SUBSTITUTE(E103,".",""),"-","")," ",""),"/",""))=14,ISNUMBER(VALUE(SUBSTITUTE(SUBSTITUTE(SUBSTITUTE(SUBSTITUTE(E103,".",""),"-","")," ",""),"/",""))))),FALSE()))),"Revisar",IF(G103&lt;&gt;"Sim","Falta comprovante",IF(AND(B103="Educação",SUMIFS($F$6:$F$155,$B$6:$B$155,"Educação",$C$6:$C$155,C103)&gt;Parâmetros!$B$6),"Acima do limite","OK"))))</f>
        <v/>
      </c>
    </row>
    <row r="104" customFormat="false" ht="15" hidden="false" customHeight="false" outlineLevel="0" collapsed="false">
      <c r="A104" s="19"/>
      <c r="B104" s="18"/>
      <c r="C104" s="18"/>
      <c r="D104" s="18"/>
      <c r="E104" s="18"/>
      <c r="F104" s="22"/>
      <c r="G104" s="23"/>
      <c r="H104" s="18"/>
      <c r="I104" s="20" t="str">
        <f aca="false">IF(AND(B104="",F104=""),"",IF(OR(A104="",B104="",C104="",F104="",NOT(IFERROR(OR(IFERROR(AND(LEN(SUBSTITUTE(SUBSTITUTE(SUBSTITUTE(SUBSTITUTE(E104,".",""),"-","")," ",""),"/",""))=11,SUBSTITUTE(SUBSTITUTE(SUBSTITUTE(SUBSTITUTE(E104,".",""),"-","")," ",""),"/","")&lt;&gt;REPT(LEFT(SUBSTITUTE(SUBSTITUTE(SUBSTITUTE(SUBSTITUTE(E104,".",""),"-","")," ",""),"/",""),1),11),VALUE(MID(SUBSTITUTE(SUBSTITUTE(SUBSTITUTE(SUBSTITUTE(E104,".",""),"-","")," ",""),"/",""),10,1))=IF(MOD(SUMPRODUCT(--MID(SUBSTITUTE(SUBSTITUTE(SUBSTITUTE(SUBSTITUTE(E104,".",""),"-","")," ",""),"/",""),{1,2,3,4,5,6,7,8,9},1),{10,9,8,7,6,5,4,3,2}),11)&lt;2,0,11-MOD(SUMPRODUCT(--MID(SUBSTITUTE(SUBSTITUTE(SUBSTITUTE(SUBSTITUTE(E104,".",""),"-","")," ",""),"/",""),{1,2,3,4,5,6,7,8,9},1),{10,9,8,7,6,5,4,3,2}),11)),VALUE(MID(SUBSTITUTE(SUBSTITUTE(SUBSTITUTE(SUBSTITUTE(E104,".",""),"-","")," ",""),"/",""),11,1))=IF(MOD(SUMPRODUCT(--MID(SUBSTITUTE(SUBSTITUTE(SUBSTITUTE(SUBSTITUTE(E104,".",""),"-","")," ",""),"/",""),{1,2,3,4,5,6,7,8,9,10},1),{11,10,9,8,7,6,5,4,3,2}),11)&lt;2,0,11-MOD(SUMPRODUCT(--MID(SUBSTITUTE(SUBSTITUTE(SUBSTITUTE(SUBSTITUTE(E104,".",""),"-","")," ",""),"/",""),{1,2,3,4,5,6,7,8,9,10},1),{11,10,9,8,7,6,5,4,3,2}),11))),FALSE()),AND(LEN(SUBSTITUTE(SUBSTITUTE(SUBSTITUTE(SUBSTITUTE(E104,".",""),"-","")," ",""),"/",""))=14,ISNUMBER(VALUE(SUBSTITUTE(SUBSTITUTE(SUBSTITUTE(SUBSTITUTE(E104,".",""),"-","")," ",""),"/",""))))),FALSE()))),"Revisar",IF(G104&lt;&gt;"Sim","Falta comprovante",IF(AND(B104="Educação",SUMIFS($F$6:$F$155,$B$6:$B$155,"Educação",$C$6:$C$155,C104)&gt;Parâmetros!$B$6),"Acima do limite","OK"))))</f>
        <v/>
      </c>
    </row>
    <row r="105" customFormat="false" ht="15" hidden="false" customHeight="false" outlineLevel="0" collapsed="false">
      <c r="A105" s="19"/>
      <c r="B105" s="18"/>
      <c r="C105" s="18"/>
      <c r="D105" s="18"/>
      <c r="E105" s="18"/>
      <c r="F105" s="22"/>
      <c r="G105" s="23"/>
      <c r="H105" s="18"/>
      <c r="I105" s="20" t="str">
        <f aca="false">IF(AND(B105="",F105=""),"",IF(OR(A105="",B105="",C105="",F105="",NOT(IFERROR(OR(IFERROR(AND(LEN(SUBSTITUTE(SUBSTITUTE(SUBSTITUTE(SUBSTITUTE(E105,".",""),"-","")," ",""),"/",""))=11,SUBSTITUTE(SUBSTITUTE(SUBSTITUTE(SUBSTITUTE(E105,".",""),"-","")," ",""),"/","")&lt;&gt;REPT(LEFT(SUBSTITUTE(SUBSTITUTE(SUBSTITUTE(SUBSTITUTE(E105,".",""),"-","")," ",""),"/",""),1),11),VALUE(MID(SUBSTITUTE(SUBSTITUTE(SUBSTITUTE(SUBSTITUTE(E105,".",""),"-","")," ",""),"/",""),10,1))=IF(MOD(SUMPRODUCT(--MID(SUBSTITUTE(SUBSTITUTE(SUBSTITUTE(SUBSTITUTE(E105,".",""),"-","")," ",""),"/",""),{1,2,3,4,5,6,7,8,9},1),{10,9,8,7,6,5,4,3,2}),11)&lt;2,0,11-MOD(SUMPRODUCT(--MID(SUBSTITUTE(SUBSTITUTE(SUBSTITUTE(SUBSTITUTE(E105,".",""),"-","")," ",""),"/",""),{1,2,3,4,5,6,7,8,9},1),{10,9,8,7,6,5,4,3,2}),11)),VALUE(MID(SUBSTITUTE(SUBSTITUTE(SUBSTITUTE(SUBSTITUTE(E105,".",""),"-","")," ",""),"/",""),11,1))=IF(MOD(SUMPRODUCT(--MID(SUBSTITUTE(SUBSTITUTE(SUBSTITUTE(SUBSTITUTE(E105,".",""),"-","")," ",""),"/",""),{1,2,3,4,5,6,7,8,9,10},1),{11,10,9,8,7,6,5,4,3,2}),11)&lt;2,0,11-MOD(SUMPRODUCT(--MID(SUBSTITUTE(SUBSTITUTE(SUBSTITUTE(SUBSTITUTE(E105,".",""),"-","")," ",""),"/",""),{1,2,3,4,5,6,7,8,9,10},1),{11,10,9,8,7,6,5,4,3,2}),11))),FALSE()),AND(LEN(SUBSTITUTE(SUBSTITUTE(SUBSTITUTE(SUBSTITUTE(E105,".",""),"-","")," ",""),"/",""))=14,ISNUMBER(VALUE(SUBSTITUTE(SUBSTITUTE(SUBSTITUTE(SUBSTITUTE(E105,".",""),"-","")," ",""),"/",""))))),FALSE()))),"Revisar",IF(G105&lt;&gt;"Sim","Falta comprovante",IF(AND(B105="Educação",SUMIFS($F$6:$F$155,$B$6:$B$155,"Educação",$C$6:$C$155,C105)&gt;Parâmetros!$B$6),"Acima do limite","OK"))))</f>
        <v/>
      </c>
    </row>
    <row r="106" customFormat="false" ht="15" hidden="false" customHeight="false" outlineLevel="0" collapsed="false">
      <c r="A106" s="19"/>
      <c r="B106" s="18"/>
      <c r="C106" s="18"/>
      <c r="D106" s="18"/>
      <c r="E106" s="18"/>
      <c r="F106" s="22"/>
      <c r="G106" s="23"/>
      <c r="H106" s="18"/>
      <c r="I106" s="20" t="str">
        <f aca="false">IF(AND(B106="",F106=""),"",IF(OR(A106="",B106="",C106="",F106="",NOT(IFERROR(OR(IFERROR(AND(LEN(SUBSTITUTE(SUBSTITUTE(SUBSTITUTE(SUBSTITUTE(E106,".",""),"-","")," ",""),"/",""))=11,SUBSTITUTE(SUBSTITUTE(SUBSTITUTE(SUBSTITUTE(E106,".",""),"-","")," ",""),"/","")&lt;&gt;REPT(LEFT(SUBSTITUTE(SUBSTITUTE(SUBSTITUTE(SUBSTITUTE(E106,".",""),"-","")," ",""),"/",""),1),11),VALUE(MID(SUBSTITUTE(SUBSTITUTE(SUBSTITUTE(SUBSTITUTE(E106,".",""),"-","")," ",""),"/",""),10,1))=IF(MOD(SUMPRODUCT(--MID(SUBSTITUTE(SUBSTITUTE(SUBSTITUTE(SUBSTITUTE(E106,".",""),"-","")," ",""),"/",""),{1,2,3,4,5,6,7,8,9},1),{10,9,8,7,6,5,4,3,2}),11)&lt;2,0,11-MOD(SUMPRODUCT(--MID(SUBSTITUTE(SUBSTITUTE(SUBSTITUTE(SUBSTITUTE(E106,".",""),"-","")," ",""),"/",""),{1,2,3,4,5,6,7,8,9},1),{10,9,8,7,6,5,4,3,2}),11)),VALUE(MID(SUBSTITUTE(SUBSTITUTE(SUBSTITUTE(SUBSTITUTE(E106,".",""),"-","")," ",""),"/",""),11,1))=IF(MOD(SUMPRODUCT(--MID(SUBSTITUTE(SUBSTITUTE(SUBSTITUTE(SUBSTITUTE(E106,".",""),"-","")," ",""),"/",""),{1,2,3,4,5,6,7,8,9,10},1),{11,10,9,8,7,6,5,4,3,2}),11)&lt;2,0,11-MOD(SUMPRODUCT(--MID(SUBSTITUTE(SUBSTITUTE(SUBSTITUTE(SUBSTITUTE(E106,".",""),"-","")," ",""),"/",""),{1,2,3,4,5,6,7,8,9,10},1),{11,10,9,8,7,6,5,4,3,2}),11))),FALSE()),AND(LEN(SUBSTITUTE(SUBSTITUTE(SUBSTITUTE(SUBSTITUTE(E106,".",""),"-","")," ",""),"/",""))=14,ISNUMBER(VALUE(SUBSTITUTE(SUBSTITUTE(SUBSTITUTE(SUBSTITUTE(E106,".",""),"-","")," ",""),"/",""))))),FALSE()))),"Revisar",IF(G106&lt;&gt;"Sim","Falta comprovante",IF(AND(B106="Educação",SUMIFS($F$6:$F$155,$B$6:$B$155,"Educação",$C$6:$C$155,C106)&gt;Parâmetros!$B$6),"Acima do limite","OK"))))</f>
        <v/>
      </c>
    </row>
    <row r="107" customFormat="false" ht="15" hidden="false" customHeight="false" outlineLevel="0" collapsed="false">
      <c r="A107" s="19"/>
      <c r="B107" s="18"/>
      <c r="C107" s="18"/>
      <c r="D107" s="18"/>
      <c r="E107" s="18"/>
      <c r="F107" s="22"/>
      <c r="G107" s="23"/>
      <c r="H107" s="18"/>
      <c r="I107" s="20" t="str">
        <f aca="false">IF(AND(B107="",F107=""),"",IF(OR(A107="",B107="",C107="",F107="",NOT(IFERROR(OR(IFERROR(AND(LEN(SUBSTITUTE(SUBSTITUTE(SUBSTITUTE(SUBSTITUTE(E107,".",""),"-","")," ",""),"/",""))=11,SUBSTITUTE(SUBSTITUTE(SUBSTITUTE(SUBSTITUTE(E107,".",""),"-","")," ",""),"/","")&lt;&gt;REPT(LEFT(SUBSTITUTE(SUBSTITUTE(SUBSTITUTE(SUBSTITUTE(E107,".",""),"-","")," ",""),"/",""),1),11),VALUE(MID(SUBSTITUTE(SUBSTITUTE(SUBSTITUTE(SUBSTITUTE(E107,".",""),"-","")," ",""),"/",""),10,1))=IF(MOD(SUMPRODUCT(--MID(SUBSTITUTE(SUBSTITUTE(SUBSTITUTE(SUBSTITUTE(E107,".",""),"-","")," ",""),"/",""),{1,2,3,4,5,6,7,8,9},1),{10,9,8,7,6,5,4,3,2}),11)&lt;2,0,11-MOD(SUMPRODUCT(--MID(SUBSTITUTE(SUBSTITUTE(SUBSTITUTE(SUBSTITUTE(E107,".",""),"-","")," ",""),"/",""),{1,2,3,4,5,6,7,8,9},1),{10,9,8,7,6,5,4,3,2}),11)),VALUE(MID(SUBSTITUTE(SUBSTITUTE(SUBSTITUTE(SUBSTITUTE(E107,".",""),"-","")," ",""),"/",""),11,1))=IF(MOD(SUMPRODUCT(--MID(SUBSTITUTE(SUBSTITUTE(SUBSTITUTE(SUBSTITUTE(E107,".",""),"-","")," ",""),"/",""),{1,2,3,4,5,6,7,8,9,10},1),{11,10,9,8,7,6,5,4,3,2}),11)&lt;2,0,11-MOD(SUMPRODUCT(--MID(SUBSTITUTE(SUBSTITUTE(SUBSTITUTE(SUBSTITUTE(E107,".",""),"-","")," ",""),"/",""),{1,2,3,4,5,6,7,8,9,10},1),{11,10,9,8,7,6,5,4,3,2}),11))),FALSE()),AND(LEN(SUBSTITUTE(SUBSTITUTE(SUBSTITUTE(SUBSTITUTE(E107,".",""),"-","")," ",""),"/",""))=14,ISNUMBER(VALUE(SUBSTITUTE(SUBSTITUTE(SUBSTITUTE(SUBSTITUTE(E107,".",""),"-","")," ",""),"/",""))))),FALSE()))),"Revisar",IF(G107&lt;&gt;"Sim","Falta comprovante",IF(AND(B107="Educação",SUMIFS($F$6:$F$155,$B$6:$B$155,"Educação",$C$6:$C$155,C107)&gt;Parâmetros!$B$6),"Acima do limite","OK"))))</f>
        <v/>
      </c>
    </row>
    <row r="108" customFormat="false" ht="15" hidden="false" customHeight="false" outlineLevel="0" collapsed="false">
      <c r="A108" s="19"/>
      <c r="B108" s="18"/>
      <c r="C108" s="18"/>
      <c r="D108" s="18"/>
      <c r="E108" s="18"/>
      <c r="F108" s="22"/>
      <c r="G108" s="23"/>
      <c r="H108" s="18"/>
      <c r="I108" s="20" t="str">
        <f aca="false">IF(AND(B108="",F108=""),"",IF(OR(A108="",B108="",C108="",F108="",NOT(IFERROR(OR(IFERROR(AND(LEN(SUBSTITUTE(SUBSTITUTE(SUBSTITUTE(SUBSTITUTE(E108,".",""),"-","")," ",""),"/",""))=11,SUBSTITUTE(SUBSTITUTE(SUBSTITUTE(SUBSTITUTE(E108,".",""),"-","")," ",""),"/","")&lt;&gt;REPT(LEFT(SUBSTITUTE(SUBSTITUTE(SUBSTITUTE(SUBSTITUTE(E108,".",""),"-","")," ",""),"/",""),1),11),VALUE(MID(SUBSTITUTE(SUBSTITUTE(SUBSTITUTE(SUBSTITUTE(E108,".",""),"-","")," ",""),"/",""),10,1))=IF(MOD(SUMPRODUCT(--MID(SUBSTITUTE(SUBSTITUTE(SUBSTITUTE(SUBSTITUTE(E108,".",""),"-","")," ",""),"/",""),{1,2,3,4,5,6,7,8,9},1),{10,9,8,7,6,5,4,3,2}),11)&lt;2,0,11-MOD(SUMPRODUCT(--MID(SUBSTITUTE(SUBSTITUTE(SUBSTITUTE(SUBSTITUTE(E108,".",""),"-","")," ",""),"/",""),{1,2,3,4,5,6,7,8,9},1),{10,9,8,7,6,5,4,3,2}),11)),VALUE(MID(SUBSTITUTE(SUBSTITUTE(SUBSTITUTE(SUBSTITUTE(E108,".",""),"-","")," ",""),"/",""),11,1))=IF(MOD(SUMPRODUCT(--MID(SUBSTITUTE(SUBSTITUTE(SUBSTITUTE(SUBSTITUTE(E108,".",""),"-","")," ",""),"/",""),{1,2,3,4,5,6,7,8,9,10},1),{11,10,9,8,7,6,5,4,3,2}),11)&lt;2,0,11-MOD(SUMPRODUCT(--MID(SUBSTITUTE(SUBSTITUTE(SUBSTITUTE(SUBSTITUTE(E108,".",""),"-","")," ",""),"/",""),{1,2,3,4,5,6,7,8,9,10},1),{11,10,9,8,7,6,5,4,3,2}),11))),FALSE()),AND(LEN(SUBSTITUTE(SUBSTITUTE(SUBSTITUTE(SUBSTITUTE(E108,".",""),"-","")," ",""),"/",""))=14,ISNUMBER(VALUE(SUBSTITUTE(SUBSTITUTE(SUBSTITUTE(SUBSTITUTE(E108,".",""),"-","")," ",""),"/",""))))),FALSE()))),"Revisar",IF(G108&lt;&gt;"Sim","Falta comprovante",IF(AND(B108="Educação",SUMIFS($F$6:$F$155,$B$6:$B$155,"Educação",$C$6:$C$155,C108)&gt;Parâmetros!$B$6),"Acima do limite","OK"))))</f>
        <v/>
      </c>
    </row>
    <row r="109" customFormat="false" ht="15" hidden="false" customHeight="false" outlineLevel="0" collapsed="false">
      <c r="A109" s="19"/>
      <c r="B109" s="18"/>
      <c r="C109" s="18"/>
      <c r="D109" s="18"/>
      <c r="E109" s="18"/>
      <c r="F109" s="22"/>
      <c r="G109" s="23"/>
      <c r="H109" s="18"/>
      <c r="I109" s="20" t="str">
        <f aca="false">IF(AND(B109="",F109=""),"",IF(OR(A109="",B109="",C109="",F109="",NOT(IFERROR(OR(IFERROR(AND(LEN(SUBSTITUTE(SUBSTITUTE(SUBSTITUTE(SUBSTITUTE(E109,".",""),"-","")," ",""),"/",""))=11,SUBSTITUTE(SUBSTITUTE(SUBSTITUTE(SUBSTITUTE(E109,".",""),"-","")," ",""),"/","")&lt;&gt;REPT(LEFT(SUBSTITUTE(SUBSTITUTE(SUBSTITUTE(SUBSTITUTE(E109,".",""),"-","")," ",""),"/",""),1),11),VALUE(MID(SUBSTITUTE(SUBSTITUTE(SUBSTITUTE(SUBSTITUTE(E109,".",""),"-","")," ",""),"/",""),10,1))=IF(MOD(SUMPRODUCT(--MID(SUBSTITUTE(SUBSTITUTE(SUBSTITUTE(SUBSTITUTE(E109,".",""),"-","")," ",""),"/",""),{1,2,3,4,5,6,7,8,9},1),{10,9,8,7,6,5,4,3,2}),11)&lt;2,0,11-MOD(SUMPRODUCT(--MID(SUBSTITUTE(SUBSTITUTE(SUBSTITUTE(SUBSTITUTE(E109,".",""),"-","")," ",""),"/",""),{1,2,3,4,5,6,7,8,9},1),{10,9,8,7,6,5,4,3,2}),11)),VALUE(MID(SUBSTITUTE(SUBSTITUTE(SUBSTITUTE(SUBSTITUTE(E109,".",""),"-","")," ",""),"/",""),11,1))=IF(MOD(SUMPRODUCT(--MID(SUBSTITUTE(SUBSTITUTE(SUBSTITUTE(SUBSTITUTE(E109,".",""),"-","")," ",""),"/",""),{1,2,3,4,5,6,7,8,9,10},1),{11,10,9,8,7,6,5,4,3,2}),11)&lt;2,0,11-MOD(SUMPRODUCT(--MID(SUBSTITUTE(SUBSTITUTE(SUBSTITUTE(SUBSTITUTE(E109,".",""),"-","")," ",""),"/",""),{1,2,3,4,5,6,7,8,9,10},1),{11,10,9,8,7,6,5,4,3,2}),11))),FALSE()),AND(LEN(SUBSTITUTE(SUBSTITUTE(SUBSTITUTE(SUBSTITUTE(E109,".",""),"-","")," ",""),"/",""))=14,ISNUMBER(VALUE(SUBSTITUTE(SUBSTITUTE(SUBSTITUTE(SUBSTITUTE(E109,".",""),"-","")," ",""),"/",""))))),FALSE()))),"Revisar",IF(G109&lt;&gt;"Sim","Falta comprovante",IF(AND(B109="Educação",SUMIFS($F$6:$F$155,$B$6:$B$155,"Educação",$C$6:$C$155,C109)&gt;Parâmetros!$B$6),"Acima do limite","OK"))))</f>
        <v/>
      </c>
    </row>
    <row r="110" customFormat="false" ht="15" hidden="false" customHeight="false" outlineLevel="0" collapsed="false">
      <c r="A110" s="19"/>
      <c r="B110" s="18"/>
      <c r="C110" s="18"/>
      <c r="D110" s="18"/>
      <c r="E110" s="18"/>
      <c r="F110" s="22"/>
      <c r="G110" s="23"/>
      <c r="H110" s="18"/>
      <c r="I110" s="20" t="str">
        <f aca="false">IF(AND(B110="",F110=""),"",IF(OR(A110="",B110="",C110="",F110="",NOT(IFERROR(OR(IFERROR(AND(LEN(SUBSTITUTE(SUBSTITUTE(SUBSTITUTE(SUBSTITUTE(E110,".",""),"-","")," ",""),"/",""))=11,SUBSTITUTE(SUBSTITUTE(SUBSTITUTE(SUBSTITUTE(E110,".",""),"-","")," ",""),"/","")&lt;&gt;REPT(LEFT(SUBSTITUTE(SUBSTITUTE(SUBSTITUTE(SUBSTITUTE(E110,".",""),"-","")," ",""),"/",""),1),11),VALUE(MID(SUBSTITUTE(SUBSTITUTE(SUBSTITUTE(SUBSTITUTE(E110,".",""),"-","")," ",""),"/",""),10,1))=IF(MOD(SUMPRODUCT(--MID(SUBSTITUTE(SUBSTITUTE(SUBSTITUTE(SUBSTITUTE(E110,".",""),"-","")," ",""),"/",""),{1,2,3,4,5,6,7,8,9},1),{10,9,8,7,6,5,4,3,2}),11)&lt;2,0,11-MOD(SUMPRODUCT(--MID(SUBSTITUTE(SUBSTITUTE(SUBSTITUTE(SUBSTITUTE(E110,".",""),"-","")," ",""),"/",""),{1,2,3,4,5,6,7,8,9},1),{10,9,8,7,6,5,4,3,2}),11)),VALUE(MID(SUBSTITUTE(SUBSTITUTE(SUBSTITUTE(SUBSTITUTE(E110,".",""),"-","")," ",""),"/",""),11,1))=IF(MOD(SUMPRODUCT(--MID(SUBSTITUTE(SUBSTITUTE(SUBSTITUTE(SUBSTITUTE(E110,".",""),"-","")," ",""),"/",""),{1,2,3,4,5,6,7,8,9,10},1),{11,10,9,8,7,6,5,4,3,2}),11)&lt;2,0,11-MOD(SUMPRODUCT(--MID(SUBSTITUTE(SUBSTITUTE(SUBSTITUTE(SUBSTITUTE(E110,".",""),"-","")," ",""),"/",""),{1,2,3,4,5,6,7,8,9,10},1),{11,10,9,8,7,6,5,4,3,2}),11))),FALSE()),AND(LEN(SUBSTITUTE(SUBSTITUTE(SUBSTITUTE(SUBSTITUTE(E110,".",""),"-","")," ",""),"/",""))=14,ISNUMBER(VALUE(SUBSTITUTE(SUBSTITUTE(SUBSTITUTE(SUBSTITUTE(E110,".",""),"-","")," ",""),"/",""))))),FALSE()))),"Revisar",IF(G110&lt;&gt;"Sim","Falta comprovante",IF(AND(B110="Educação",SUMIFS($F$6:$F$155,$B$6:$B$155,"Educação",$C$6:$C$155,C110)&gt;Parâmetros!$B$6),"Acima do limite","OK"))))</f>
        <v/>
      </c>
    </row>
    <row r="111" customFormat="false" ht="15" hidden="false" customHeight="false" outlineLevel="0" collapsed="false">
      <c r="A111" s="19"/>
      <c r="B111" s="18"/>
      <c r="C111" s="18"/>
      <c r="D111" s="18"/>
      <c r="E111" s="18"/>
      <c r="F111" s="22"/>
      <c r="G111" s="23"/>
      <c r="H111" s="18"/>
      <c r="I111" s="20" t="str">
        <f aca="false">IF(AND(B111="",F111=""),"",IF(OR(A111="",B111="",C111="",F111="",NOT(IFERROR(OR(IFERROR(AND(LEN(SUBSTITUTE(SUBSTITUTE(SUBSTITUTE(SUBSTITUTE(E111,".",""),"-","")," ",""),"/",""))=11,SUBSTITUTE(SUBSTITUTE(SUBSTITUTE(SUBSTITUTE(E111,".",""),"-","")," ",""),"/","")&lt;&gt;REPT(LEFT(SUBSTITUTE(SUBSTITUTE(SUBSTITUTE(SUBSTITUTE(E111,".",""),"-","")," ",""),"/",""),1),11),VALUE(MID(SUBSTITUTE(SUBSTITUTE(SUBSTITUTE(SUBSTITUTE(E111,".",""),"-","")," ",""),"/",""),10,1))=IF(MOD(SUMPRODUCT(--MID(SUBSTITUTE(SUBSTITUTE(SUBSTITUTE(SUBSTITUTE(E111,".",""),"-","")," ",""),"/",""),{1,2,3,4,5,6,7,8,9},1),{10,9,8,7,6,5,4,3,2}),11)&lt;2,0,11-MOD(SUMPRODUCT(--MID(SUBSTITUTE(SUBSTITUTE(SUBSTITUTE(SUBSTITUTE(E111,".",""),"-","")," ",""),"/",""),{1,2,3,4,5,6,7,8,9},1),{10,9,8,7,6,5,4,3,2}),11)),VALUE(MID(SUBSTITUTE(SUBSTITUTE(SUBSTITUTE(SUBSTITUTE(E111,".",""),"-","")," ",""),"/",""),11,1))=IF(MOD(SUMPRODUCT(--MID(SUBSTITUTE(SUBSTITUTE(SUBSTITUTE(SUBSTITUTE(E111,".",""),"-","")," ",""),"/",""),{1,2,3,4,5,6,7,8,9,10},1),{11,10,9,8,7,6,5,4,3,2}),11)&lt;2,0,11-MOD(SUMPRODUCT(--MID(SUBSTITUTE(SUBSTITUTE(SUBSTITUTE(SUBSTITUTE(E111,".",""),"-","")," ",""),"/",""),{1,2,3,4,5,6,7,8,9,10},1),{11,10,9,8,7,6,5,4,3,2}),11))),FALSE()),AND(LEN(SUBSTITUTE(SUBSTITUTE(SUBSTITUTE(SUBSTITUTE(E111,".",""),"-","")," ",""),"/",""))=14,ISNUMBER(VALUE(SUBSTITUTE(SUBSTITUTE(SUBSTITUTE(SUBSTITUTE(E111,".",""),"-","")," ",""),"/",""))))),FALSE()))),"Revisar",IF(G111&lt;&gt;"Sim","Falta comprovante",IF(AND(B111="Educação",SUMIFS($F$6:$F$155,$B$6:$B$155,"Educação",$C$6:$C$155,C111)&gt;Parâmetros!$B$6),"Acima do limite","OK"))))</f>
        <v/>
      </c>
    </row>
    <row r="112" customFormat="false" ht="15" hidden="false" customHeight="false" outlineLevel="0" collapsed="false">
      <c r="A112" s="19"/>
      <c r="B112" s="18"/>
      <c r="C112" s="18"/>
      <c r="D112" s="18"/>
      <c r="E112" s="18"/>
      <c r="F112" s="22"/>
      <c r="G112" s="23"/>
      <c r="H112" s="18"/>
      <c r="I112" s="20" t="str">
        <f aca="false">IF(AND(B112="",F112=""),"",IF(OR(A112="",B112="",C112="",F112="",NOT(IFERROR(OR(IFERROR(AND(LEN(SUBSTITUTE(SUBSTITUTE(SUBSTITUTE(SUBSTITUTE(E112,".",""),"-","")," ",""),"/",""))=11,SUBSTITUTE(SUBSTITUTE(SUBSTITUTE(SUBSTITUTE(E112,".",""),"-","")," ",""),"/","")&lt;&gt;REPT(LEFT(SUBSTITUTE(SUBSTITUTE(SUBSTITUTE(SUBSTITUTE(E112,".",""),"-","")," ",""),"/",""),1),11),VALUE(MID(SUBSTITUTE(SUBSTITUTE(SUBSTITUTE(SUBSTITUTE(E112,".",""),"-","")," ",""),"/",""),10,1))=IF(MOD(SUMPRODUCT(--MID(SUBSTITUTE(SUBSTITUTE(SUBSTITUTE(SUBSTITUTE(E112,".",""),"-","")," ",""),"/",""),{1,2,3,4,5,6,7,8,9},1),{10,9,8,7,6,5,4,3,2}),11)&lt;2,0,11-MOD(SUMPRODUCT(--MID(SUBSTITUTE(SUBSTITUTE(SUBSTITUTE(SUBSTITUTE(E112,".",""),"-","")," ",""),"/",""),{1,2,3,4,5,6,7,8,9},1),{10,9,8,7,6,5,4,3,2}),11)),VALUE(MID(SUBSTITUTE(SUBSTITUTE(SUBSTITUTE(SUBSTITUTE(E112,".",""),"-","")," ",""),"/",""),11,1))=IF(MOD(SUMPRODUCT(--MID(SUBSTITUTE(SUBSTITUTE(SUBSTITUTE(SUBSTITUTE(E112,".",""),"-","")," ",""),"/",""),{1,2,3,4,5,6,7,8,9,10},1),{11,10,9,8,7,6,5,4,3,2}),11)&lt;2,0,11-MOD(SUMPRODUCT(--MID(SUBSTITUTE(SUBSTITUTE(SUBSTITUTE(SUBSTITUTE(E112,".",""),"-","")," ",""),"/",""),{1,2,3,4,5,6,7,8,9,10},1),{11,10,9,8,7,6,5,4,3,2}),11))),FALSE()),AND(LEN(SUBSTITUTE(SUBSTITUTE(SUBSTITUTE(SUBSTITUTE(E112,".",""),"-","")," ",""),"/",""))=14,ISNUMBER(VALUE(SUBSTITUTE(SUBSTITUTE(SUBSTITUTE(SUBSTITUTE(E112,".",""),"-","")," ",""),"/",""))))),FALSE()))),"Revisar",IF(G112&lt;&gt;"Sim","Falta comprovante",IF(AND(B112="Educação",SUMIFS($F$6:$F$155,$B$6:$B$155,"Educação",$C$6:$C$155,C112)&gt;Parâmetros!$B$6),"Acima do limite","OK"))))</f>
        <v/>
      </c>
    </row>
    <row r="113" customFormat="false" ht="15" hidden="false" customHeight="false" outlineLevel="0" collapsed="false">
      <c r="A113" s="19"/>
      <c r="B113" s="18"/>
      <c r="C113" s="18"/>
      <c r="D113" s="18"/>
      <c r="E113" s="18"/>
      <c r="F113" s="22"/>
      <c r="G113" s="23"/>
      <c r="H113" s="18"/>
      <c r="I113" s="20" t="str">
        <f aca="false">IF(AND(B113="",F113=""),"",IF(OR(A113="",B113="",C113="",F113="",NOT(IFERROR(OR(IFERROR(AND(LEN(SUBSTITUTE(SUBSTITUTE(SUBSTITUTE(SUBSTITUTE(E113,".",""),"-","")," ",""),"/",""))=11,SUBSTITUTE(SUBSTITUTE(SUBSTITUTE(SUBSTITUTE(E113,".",""),"-","")," ",""),"/","")&lt;&gt;REPT(LEFT(SUBSTITUTE(SUBSTITUTE(SUBSTITUTE(SUBSTITUTE(E113,".",""),"-","")," ",""),"/",""),1),11),VALUE(MID(SUBSTITUTE(SUBSTITUTE(SUBSTITUTE(SUBSTITUTE(E113,".",""),"-","")," ",""),"/",""),10,1))=IF(MOD(SUMPRODUCT(--MID(SUBSTITUTE(SUBSTITUTE(SUBSTITUTE(SUBSTITUTE(E113,".",""),"-","")," ",""),"/",""),{1,2,3,4,5,6,7,8,9},1),{10,9,8,7,6,5,4,3,2}),11)&lt;2,0,11-MOD(SUMPRODUCT(--MID(SUBSTITUTE(SUBSTITUTE(SUBSTITUTE(SUBSTITUTE(E113,".",""),"-","")," ",""),"/",""),{1,2,3,4,5,6,7,8,9},1),{10,9,8,7,6,5,4,3,2}),11)),VALUE(MID(SUBSTITUTE(SUBSTITUTE(SUBSTITUTE(SUBSTITUTE(E113,".",""),"-","")," ",""),"/",""),11,1))=IF(MOD(SUMPRODUCT(--MID(SUBSTITUTE(SUBSTITUTE(SUBSTITUTE(SUBSTITUTE(E113,".",""),"-","")," ",""),"/",""),{1,2,3,4,5,6,7,8,9,10},1),{11,10,9,8,7,6,5,4,3,2}),11)&lt;2,0,11-MOD(SUMPRODUCT(--MID(SUBSTITUTE(SUBSTITUTE(SUBSTITUTE(SUBSTITUTE(E113,".",""),"-","")," ",""),"/",""),{1,2,3,4,5,6,7,8,9,10},1),{11,10,9,8,7,6,5,4,3,2}),11))),FALSE()),AND(LEN(SUBSTITUTE(SUBSTITUTE(SUBSTITUTE(SUBSTITUTE(E113,".",""),"-","")," ",""),"/",""))=14,ISNUMBER(VALUE(SUBSTITUTE(SUBSTITUTE(SUBSTITUTE(SUBSTITUTE(E113,".",""),"-","")," ",""),"/",""))))),FALSE()))),"Revisar",IF(G113&lt;&gt;"Sim","Falta comprovante",IF(AND(B113="Educação",SUMIFS($F$6:$F$155,$B$6:$B$155,"Educação",$C$6:$C$155,C113)&gt;Parâmetros!$B$6),"Acima do limite","OK"))))</f>
        <v/>
      </c>
    </row>
    <row r="114" customFormat="false" ht="15" hidden="false" customHeight="false" outlineLevel="0" collapsed="false">
      <c r="A114" s="19"/>
      <c r="B114" s="18"/>
      <c r="C114" s="18"/>
      <c r="D114" s="18"/>
      <c r="E114" s="18"/>
      <c r="F114" s="22"/>
      <c r="G114" s="23"/>
      <c r="H114" s="18"/>
      <c r="I114" s="20" t="str">
        <f aca="false">IF(AND(B114="",F114=""),"",IF(OR(A114="",B114="",C114="",F114="",NOT(IFERROR(OR(IFERROR(AND(LEN(SUBSTITUTE(SUBSTITUTE(SUBSTITUTE(SUBSTITUTE(E114,".",""),"-","")," ",""),"/",""))=11,SUBSTITUTE(SUBSTITUTE(SUBSTITUTE(SUBSTITUTE(E114,".",""),"-","")," ",""),"/","")&lt;&gt;REPT(LEFT(SUBSTITUTE(SUBSTITUTE(SUBSTITUTE(SUBSTITUTE(E114,".",""),"-","")," ",""),"/",""),1),11),VALUE(MID(SUBSTITUTE(SUBSTITUTE(SUBSTITUTE(SUBSTITUTE(E114,".",""),"-","")," ",""),"/",""),10,1))=IF(MOD(SUMPRODUCT(--MID(SUBSTITUTE(SUBSTITUTE(SUBSTITUTE(SUBSTITUTE(E114,".",""),"-","")," ",""),"/",""),{1,2,3,4,5,6,7,8,9},1),{10,9,8,7,6,5,4,3,2}),11)&lt;2,0,11-MOD(SUMPRODUCT(--MID(SUBSTITUTE(SUBSTITUTE(SUBSTITUTE(SUBSTITUTE(E114,".",""),"-","")," ",""),"/",""),{1,2,3,4,5,6,7,8,9},1),{10,9,8,7,6,5,4,3,2}),11)),VALUE(MID(SUBSTITUTE(SUBSTITUTE(SUBSTITUTE(SUBSTITUTE(E114,".",""),"-","")," ",""),"/",""),11,1))=IF(MOD(SUMPRODUCT(--MID(SUBSTITUTE(SUBSTITUTE(SUBSTITUTE(SUBSTITUTE(E114,".",""),"-","")," ",""),"/",""),{1,2,3,4,5,6,7,8,9,10},1),{11,10,9,8,7,6,5,4,3,2}),11)&lt;2,0,11-MOD(SUMPRODUCT(--MID(SUBSTITUTE(SUBSTITUTE(SUBSTITUTE(SUBSTITUTE(E114,".",""),"-","")," ",""),"/",""),{1,2,3,4,5,6,7,8,9,10},1),{11,10,9,8,7,6,5,4,3,2}),11))),FALSE()),AND(LEN(SUBSTITUTE(SUBSTITUTE(SUBSTITUTE(SUBSTITUTE(E114,".",""),"-","")," ",""),"/",""))=14,ISNUMBER(VALUE(SUBSTITUTE(SUBSTITUTE(SUBSTITUTE(SUBSTITUTE(E114,".",""),"-","")," ",""),"/",""))))),FALSE()))),"Revisar",IF(G114&lt;&gt;"Sim","Falta comprovante",IF(AND(B114="Educação",SUMIFS($F$6:$F$155,$B$6:$B$155,"Educação",$C$6:$C$155,C114)&gt;Parâmetros!$B$6),"Acima do limite","OK"))))</f>
        <v/>
      </c>
    </row>
    <row r="115" customFormat="false" ht="15" hidden="false" customHeight="false" outlineLevel="0" collapsed="false">
      <c r="A115" s="19"/>
      <c r="B115" s="18"/>
      <c r="C115" s="18"/>
      <c r="D115" s="18"/>
      <c r="E115" s="18"/>
      <c r="F115" s="22"/>
      <c r="G115" s="23"/>
      <c r="H115" s="18"/>
      <c r="I115" s="20" t="str">
        <f aca="false">IF(AND(B115="",F115=""),"",IF(OR(A115="",B115="",C115="",F115="",NOT(IFERROR(OR(IFERROR(AND(LEN(SUBSTITUTE(SUBSTITUTE(SUBSTITUTE(SUBSTITUTE(E115,".",""),"-","")," ",""),"/",""))=11,SUBSTITUTE(SUBSTITUTE(SUBSTITUTE(SUBSTITUTE(E115,".",""),"-","")," ",""),"/","")&lt;&gt;REPT(LEFT(SUBSTITUTE(SUBSTITUTE(SUBSTITUTE(SUBSTITUTE(E115,".",""),"-","")," ",""),"/",""),1),11),VALUE(MID(SUBSTITUTE(SUBSTITUTE(SUBSTITUTE(SUBSTITUTE(E115,".",""),"-","")," ",""),"/",""),10,1))=IF(MOD(SUMPRODUCT(--MID(SUBSTITUTE(SUBSTITUTE(SUBSTITUTE(SUBSTITUTE(E115,".",""),"-","")," ",""),"/",""),{1,2,3,4,5,6,7,8,9},1),{10,9,8,7,6,5,4,3,2}),11)&lt;2,0,11-MOD(SUMPRODUCT(--MID(SUBSTITUTE(SUBSTITUTE(SUBSTITUTE(SUBSTITUTE(E115,".",""),"-","")," ",""),"/",""),{1,2,3,4,5,6,7,8,9},1),{10,9,8,7,6,5,4,3,2}),11)),VALUE(MID(SUBSTITUTE(SUBSTITUTE(SUBSTITUTE(SUBSTITUTE(E115,".",""),"-","")," ",""),"/",""),11,1))=IF(MOD(SUMPRODUCT(--MID(SUBSTITUTE(SUBSTITUTE(SUBSTITUTE(SUBSTITUTE(E115,".",""),"-","")," ",""),"/",""),{1,2,3,4,5,6,7,8,9,10},1),{11,10,9,8,7,6,5,4,3,2}),11)&lt;2,0,11-MOD(SUMPRODUCT(--MID(SUBSTITUTE(SUBSTITUTE(SUBSTITUTE(SUBSTITUTE(E115,".",""),"-","")," ",""),"/",""),{1,2,3,4,5,6,7,8,9,10},1),{11,10,9,8,7,6,5,4,3,2}),11))),FALSE()),AND(LEN(SUBSTITUTE(SUBSTITUTE(SUBSTITUTE(SUBSTITUTE(E115,".",""),"-","")," ",""),"/",""))=14,ISNUMBER(VALUE(SUBSTITUTE(SUBSTITUTE(SUBSTITUTE(SUBSTITUTE(E115,".",""),"-","")," ",""),"/",""))))),FALSE()))),"Revisar",IF(G115&lt;&gt;"Sim","Falta comprovante",IF(AND(B115="Educação",SUMIFS($F$6:$F$155,$B$6:$B$155,"Educação",$C$6:$C$155,C115)&gt;Parâmetros!$B$6),"Acima do limite","OK"))))</f>
        <v/>
      </c>
    </row>
    <row r="116" customFormat="false" ht="15" hidden="false" customHeight="false" outlineLevel="0" collapsed="false">
      <c r="A116" s="19"/>
      <c r="B116" s="18"/>
      <c r="C116" s="18"/>
      <c r="D116" s="18"/>
      <c r="E116" s="18"/>
      <c r="F116" s="22"/>
      <c r="G116" s="23"/>
      <c r="H116" s="18"/>
      <c r="I116" s="20" t="str">
        <f aca="false">IF(AND(B116="",F116=""),"",IF(OR(A116="",B116="",C116="",F116="",NOT(IFERROR(OR(IFERROR(AND(LEN(SUBSTITUTE(SUBSTITUTE(SUBSTITUTE(SUBSTITUTE(E116,".",""),"-","")," ",""),"/",""))=11,SUBSTITUTE(SUBSTITUTE(SUBSTITUTE(SUBSTITUTE(E116,".",""),"-","")," ",""),"/","")&lt;&gt;REPT(LEFT(SUBSTITUTE(SUBSTITUTE(SUBSTITUTE(SUBSTITUTE(E116,".",""),"-","")," ",""),"/",""),1),11),VALUE(MID(SUBSTITUTE(SUBSTITUTE(SUBSTITUTE(SUBSTITUTE(E116,".",""),"-","")," ",""),"/",""),10,1))=IF(MOD(SUMPRODUCT(--MID(SUBSTITUTE(SUBSTITUTE(SUBSTITUTE(SUBSTITUTE(E116,".",""),"-","")," ",""),"/",""),{1,2,3,4,5,6,7,8,9},1),{10,9,8,7,6,5,4,3,2}),11)&lt;2,0,11-MOD(SUMPRODUCT(--MID(SUBSTITUTE(SUBSTITUTE(SUBSTITUTE(SUBSTITUTE(E116,".",""),"-","")," ",""),"/",""),{1,2,3,4,5,6,7,8,9},1),{10,9,8,7,6,5,4,3,2}),11)),VALUE(MID(SUBSTITUTE(SUBSTITUTE(SUBSTITUTE(SUBSTITUTE(E116,".",""),"-","")," ",""),"/",""),11,1))=IF(MOD(SUMPRODUCT(--MID(SUBSTITUTE(SUBSTITUTE(SUBSTITUTE(SUBSTITUTE(E116,".",""),"-","")," ",""),"/",""),{1,2,3,4,5,6,7,8,9,10},1),{11,10,9,8,7,6,5,4,3,2}),11)&lt;2,0,11-MOD(SUMPRODUCT(--MID(SUBSTITUTE(SUBSTITUTE(SUBSTITUTE(SUBSTITUTE(E116,".",""),"-","")," ",""),"/",""),{1,2,3,4,5,6,7,8,9,10},1),{11,10,9,8,7,6,5,4,3,2}),11))),FALSE()),AND(LEN(SUBSTITUTE(SUBSTITUTE(SUBSTITUTE(SUBSTITUTE(E116,".",""),"-","")," ",""),"/",""))=14,ISNUMBER(VALUE(SUBSTITUTE(SUBSTITUTE(SUBSTITUTE(SUBSTITUTE(E116,".",""),"-","")," ",""),"/",""))))),FALSE()))),"Revisar",IF(G116&lt;&gt;"Sim","Falta comprovante",IF(AND(B116="Educação",SUMIFS($F$6:$F$155,$B$6:$B$155,"Educação",$C$6:$C$155,C116)&gt;Parâmetros!$B$6),"Acima do limite","OK"))))</f>
        <v/>
      </c>
    </row>
    <row r="117" customFormat="false" ht="15" hidden="false" customHeight="false" outlineLevel="0" collapsed="false">
      <c r="A117" s="19"/>
      <c r="B117" s="18"/>
      <c r="C117" s="18"/>
      <c r="D117" s="18"/>
      <c r="E117" s="18"/>
      <c r="F117" s="22"/>
      <c r="G117" s="23"/>
      <c r="H117" s="18"/>
      <c r="I117" s="20" t="str">
        <f aca="false">IF(AND(B117="",F117=""),"",IF(OR(A117="",B117="",C117="",F117="",NOT(IFERROR(OR(IFERROR(AND(LEN(SUBSTITUTE(SUBSTITUTE(SUBSTITUTE(SUBSTITUTE(E117,".",""),"-","")," ",""),"/",""))=11,SUBSTITUTE(SUBSTITUTE(SUBSTITUTE(SUBSTITUTE(E117,".",""),"-","")," ",""),"/","")&lt;&gt;REPT(LEFT(SUBSTITUTE(SUBSTITUTE(SUBSTITUTE(SUBSTITUTE(E117,".",""),"-","")," ",""),"/",""),1),11),VALUE(MID(SUBSTITUTE(SUBSTITUTE(SUBSTITUTE(SUBSTITUTE(E117,".",""),"-","")," ",""),"/",""),10,1))=IF(MOD(SUMPRODUCT(--MID(SUBSTITUTE(SUBSTITUTE(SUBSTITUTE(SUBSTITUTE(E117,".",""),"-","")," ",""),"/",""),{1,2,3,4,5,6,7,8,9},1),{10,9,8,7,6,5,4,3,2}),11)&lt;2,0,11-MOD(SUMPRODUCT(--MID(SUBSTITUTE(SUBSTITUTE(SUBSTITUTE(SUBSTITUTE(E117,".",""),"-","")," ",""),"/",""),{1,2,3,4,5,6,7,8,9},1),{10,9,8,7,6,5,4,3,2}),11)),VALUE(MID(SUBSTITUTE(SUBSTITUTE(SUBSTITUTE(SUBSTITUTE(E117,".",""),"-","")," ",""),"/",""),11,1))=IF(MOD(SUMPRODUCT(--MID(SUBSTITUTE(SUBSTITUTE(SUBSTITUTE(SUBSTITUTE(E117,".",""),"-","")," ",""),"/",""),{1,2,3,4,5,6,7,8,9,10},1),{11,10,9,8,7,6,5,4,3,2}),11)&lt;2,0,11-MOD(SUMPRODUCT(--MID(SUBSTITUTE(SUBSTITUTE(SUBSTITUTE(SUBSTITUTE(E117,".",""),"-","")," ",""),"/",""),{1,2,3,4,5,6,7,8,9,10},1),{11,10,9,8,7,6,5,4,3,2}),11))),FALSE()),AND(LEN(SUBSTITUTE(SUBSTITUTE(SUBSTITUTE(SUBSTITUTE(E117,".",""),"-","")," ",""),"/",""))=14,ISNUMBER(VALUE(SUBSTITUTE(SUBSTITUTE(SUBSTITUTE(SUBSTITUTE(E117,".",""),"-","")," ",""),"/",""))))),FALSE()))),"Revisar",IF(G117&lt;&gt;"Sim","Falta comprovante",IF(AND(B117="Educação",SUMIFS($F$6:$F$155,$B$6:$B$155,"Educação",$C$6:$C$155,C117)&gt;Parâmetros!$B$6),"Acima do limite","OK"))))</f>
        <v/>
      </c>
    </row>
    <row r="118" customFormat="false" ht="15" hidden="false" customHeight="false" outlineLevel="0" collapsed="false">
      <c r="A118" s="19"/>
      <c r="B118" s="18"/>
      <c r="C118" s="18"/>
      <c r="D118" s="18"/>
      <c r="E118" s="18"/>
      <c r="F118" s="22"/>
      <c r="G118" s="23"/>
      <c r="H118" s="18"/>
      <c r="I118" s="20" t="str">
        <f aca="false">IF(AND(B118="",F118=""),"",IF(OR(A118="",B118="",C118="",F118="",NOT(IFERROR(OR(IFERROR(AND(LEN(SUBSTITUTE(SUBSTITUTE(SUBSTITUTE(SUBSTITUTE(E118,".",""),"-","")," ",""),"/",""))=11,SUBSTITUTE(SUBSTITUTE(SUBSTITUTE(SUBSTITUTE(E118,".",""),"-","")," ",""),"/","")&lt;&gt;REPT(LEFT(SUBSTITUTE(SUBSTITUTE(SUBSTITUTE(SUBSTITUTE(E118,".",""),"-","")," ",""),"/",""),1),11),VALUE(MID(SUBSTITUTE(SUBSTITUTE(SUBSTITUTE(SUBSTITUTE(E118,".",""),"-","")," ",""),"/",""),10,1))=IF(MOD(SUMPRODUCT(--MID(SUBSTITUTE(SUBSTITUTE(SUBSTITUTE(SUBSTITUTE(E118,".",""),"-","")," ",""),"/",""),{1,2,3,4,5,6,7,8,9},1),{10,9,8,7,6,5,4,3,2}),11)&lt;2,0,11-MOD(SUMPRODUCT(--MID(SUBSTITUTE(SUBSTITUTE(SUBSTITUTE(SUBSTITUTE(E118,".",""),"-","")," ",""),"/",""),{1,2,3,4,5,6,7,8,9},1),{10,9,8,7,6,5,4,3,2}),11)),VALUE(MID(SUBSTITUTE(SUBSTITUTE(SUBSTITUTE(SUBSTITUTE(E118,".",""),"-","")," ",""),"/",""),11,1))=IF(MOD(SUMPRODUCT(--MID(SUBSTITUTE(SUBSTITUTE(SUBSTITUTE(SUBSTITUTE(E118,".",""),"-","")," ",""),"/",""),{1,2,3,4,5,6,7,8,9,10},1),{11,10,9,8,7,6,5,4,3,2}),11)&lt;2,0,11-MOD(SUMPRODUCT(--MID(SUBSTITUTE(SUBSTITUTE(SUBSTITUTE(SUBSTITUTE(E118,".",""),"-","")," ",""),"/",""),{1,2,3,4,5,6,7,8,9,10},1),{11,10,9,8,7,6,5,4,3,2}),11))),FALSE()),AND(LEN(SUBSTITUTE(SUBSTITUTE(SUBSTITUTE(SUBSTITUTE(E118,".",""),"-","")," ",""),"/",""))=14,ISNUMBER(VALUE(SUBSTITUTE(SUBSTITUTE(SUBSTITUTE(SUBSTITUTE(E118,".",""),"-","")," ",""),"/",""))))),FALSE()))),"Revisar",IF(G118&lt;&gt;"Sim","Falta comprovante",IF(AND(B118="Educação",SUMIFS($F$6:$F$155,$B$6:$B$155,"Educação",$C$6:$C$155,C118)&gt;Parâmetros!$B$6),"Acima do limite","OK"))))</f>
        <v/>
      </c>
    </row>
    <row r="119" customFormat="false" ht="15" hidden="false" customHeight="false" outlineLevel="0" collapsed="false">
      <c r="A119" s="19"/>
      <c r="B119" s="18"/>
      <c r="C119" s="18"/>
      <c r="D119" s="18"/>
      <c r="E119" s="18"/>
      <c r="F119" s="22"/>
      <c r="G119" s="23"/>
      <c r="H119" s="18"/>
      <c r="I119" s="20" t="str">
        <f aca="false">IF(AND(B119="",F119=""),"",IF(OR(A119="",B119="",C119="",F119="",NOT(IFERROR(OR(IFERROR(AND(LEN(SUBSTITUTE(SUBSTITUTE(SUBSTITUTE(SUBSTITUTE(E119,".",""),"-","")," ",""),"/",""))=11,SUBSTITUTE(SUBSTITUTE(SUBSTITUTE(SUBSTITUTE(E119,".",""),"-","")," ",""),"/","")&lt;&gt;REPT(LEFT(SUBSTITUTE(SUBSTITUTE(SUBSTITUTE(SUBSTITUTE(E119,".",""),"-","")," ",""),"/",""),1),11),VALUE(MID(SUBSTITUTE(SUBSTITUTE(SUBSTITUTE(SUBSTITUTE(E119,".",""),"-","")," ",""),"/",""),10,1))=IF(MOD(SUMPRODUCT(--MID(SUBSTITUTE(SUBSTITUTE(SUBSTITUTE(SUBSTITUTE(E119,".",""),"-","")," ",""),"/",""),{1,2,3,4,5,6,7,8,9},1),{10,9,8,7,6,5,4,3,2}),11)&lt;2,0,11-MOD(SUMPRODUCT(--MID(SUBSTITUTE(SUBSTITUTE(SUBSTITUTE(SUBSTITUTE(E119,".",""),"-","")," ",""),"/",""),{1,2,3,4,5,6,7,8,9},1),{10,9,8,7,6,5,4,3,2}),11)),VALUE(MID(SUBSTITUTE(SUBSTITUTE(SUBSTITUTE(SUBSTITUTE(E119,".",""),"-","")," ",""),"/",""),11,1))=IF(MOD(SUMPRODUCT(--MID(SUBSTITUTE(SUBSTITUTE(SUBSTITUTE(SUBSTITUTE(E119,".",""),"-","")," ",""),"/",""),{1,2,3,4,5,6,7,8,9,10},1),{11,10,9,8,7,6,5,4,3,2}),11)&lt;2,0,11-MOD(SUMPRODUCT(--MID(SUBSTITUTE(SUBSTITUTE(SUBSTITUTE(SUBSTITUTE(E119,".",""),"-","")," ",""),"/",""),{1,2,3,4,5,6,7,8,9,10},1),{11,10,9,8,7,6,5,4,3,2}),11))),FALSE()),AND(LEN(SUBSTITUTE(SUBSTITUTE(SUBSTITUTE(SUBSTITUTE(E119,".",""),"-","")," ",""),"/",""))=14,ISNUMBER(VALUE(SUBSTITUTE(SUBSTITUTE(SUBSTITUTE(SUBSTITUTE(E119,".",""),"-","")," ",""),"/",""))))),FALSE()))),"Revisar",IF(G119&lt;&gt;"Sim","Falta comprovante",IF(AND(B119="Educação",SUMIFS($F$6:$F$155,$B$6:$B$155,"Educação",$C$6:$C$155,C119)&gt;Parâmetros!$B$6),"Acima do limite","OK"))))</f>
        <v/>
      </c>
    </row>
    <row r="120" customFormat="false" ht="15" hidden="false" customHeight="false" outlineLevel="0" collapsed="false">
      <c r="A120" s="19"/>
      <c r="B120" s="18"/>
      <c r="C120" s="18"/>
      <c r="D120" s="18"/>
      <c r="E120" s="18"/>
      <c r="F120" s="22"/>
      <c r="G120" s="23"/>
      <c r="H120" s="18"/>
      <c r="I120" s="20" t="str">
        <f aca="false">IF(AND(B120="",F120=""),"",IF(OR(A120="",B120="",C120="",F120="",NOT(IFERROR(OR(IFERROR(AND(LEN(SUBSTITUTE(SUBSTITUTE(SUBSTITUTE(SUBSTITUTE(E120,".",""),"-","")," ",""),"/",""))=11,SUBSTITUTE(SUBSTITUTE(SUBSTITUTE(SUBSTITUTE(E120,".",""),"-","")," ",""),"/","")&lt;&gt;REPT(LEFT(SUBSTITUTE(SUBSTITUTE(SUBSTITUTE(SUBSTITUTE(E120,".",""),"-","")," ",""),"/",""),1),11),VALUE(MID(SUBSTITUTE(SUBSTITUTE(SUBSTITUTE(SUBSTITUTE(E120,".",""),"-","")," ",""),"/",""),10,1))=IF(MOD(SUMPRODUCT(--MID(SUBSTITUTE(SUBSTITUTE(SUBSTITUTE(SUBSTITUTE(E120,".",""),"-","")," ",""),"/",""),{1,2,3,4,5,6,7,8,9},1),{10,9,8,7,6,5,4,3,2}),11)&lt;2,0,11-MOD(SUMPRODUCT(--MID(SUBSTITUTE(SUBSTITUTE(SUBSTITUTE(SUBSTITUTE(E120,".",""),"-","")," ",""),"/",""),{1,2,3,4,5,6,7,8,9},1),{10,9,8,7,6,5,4,3,2}),11)),VALUE(MID(SUBSTITUTE(SUBSTITUTE(SUBSTITUTE(SUBSTITUTE(E120,".",""),"-","")," ",""),"/",""),11,1))=IF(MOD(SUMPRODUCT(--MID(SUBSTITUTE(SUBSTITUTE(SUBSTITUTE(SUBSTITUTE(E120,".",""),"-","")," ",""),"/",""),{1,2,3,4,5,6,7,8,9,10},1),{11,10,9,8,7,6,5,4,3,2}),11)&lt;2,0,11-MOD(SUMPRODUCT(--MID(SUBSTITUTE(SUBSTITUTE(SUBSTITUTE(SUBSTITUTE(E120,".",""),"-","")," ",""),"/",""),{1,2,3,4,5,6,7,8,9,10},1),{11,10,9,8,7,6,5,4,3,2}),11))),FALSE()),AND(LEN(SUBSTITUTE(SUBSTITUTE(SUBSTITUTE(SUBSTITUTE(E120,".",""),"-","")," ",""),"/",""))=14,ISNUMBER(VALUE(SUBSTITUTE(SUBSTITUTE(SUBSTITUTE(SUBSTITUTE(E120,".",""),"-","")," ",""),"/",""))))),FALSE()))),"Revisar",IF(G120&lt;&gt;"Sim","Falta comprovante",IF(AND(B120="Educação",SUMIFS($F$6:$F$155,$B$6:$B$155,"Educação",$C$6:$C$155,C120)&gt;Parâmetros!$B$6),"Acima do limite","OK"))))</f>
        <v/>
      </c>
    </row>
    <row r="121" customFormat="false" ht="15" hidden="false" customHeight="false" outlineLevel="0" collapsed="false">
      <c r="A121" s="19"/>
      <c r="B121" s="18"/>
      <c r="C121" s="18"/>
      <c r="D121" s="18"/>
      <c r="E121" s="18"/>
      <c r="F121" s="22"/>
      <c r="G121" s="23"/>
      <c r="H121" s="18"/>
      <c r="I121" s="20" t="str">
        <f aca="false">IF(AND(B121="",F121=""),"",IF(OR(A121="",B121="",C121="",F121="",NOT(IFERROR(OR(IFERROR(AND(LEN(SUBSTITUTE(SUBSTITUTE(SUBSTITUTE(SUBSTITUTE(E121,".",""),"-","")," ",""),"/",""))=11,SUBSTITUTE(SUBSTITUTE(SUBSTITUTE(SUBSTITUTE(E121,".",""),"-","")," ",""),"/","")&lt;&gt;REPT(LEFT(SUBSTITUTE(SUBSTITUTE(SUBSTITUTE(SUBSTITUTE(E121,".",""),"-","")," ",""),"/",""),1),11),VALUE(MID(SUBSTITUTE(SUBSTITUTE(SUBSTITUTE(SUBSTITUTE(E121,".",""),"-","")," ",""),"/",""),10,1))=IF(MOD(SUMPRODUCT(--MID(SUBSTITUTE(SUBSTITUTE(SUBSTITUTE(SUBSTITUTE(E121,".",""),"-","")," ",""),"/",""),{1,2,3,4,5,6,7,8,9},1),{10,9,8,7,6,5,4,3,2}),11)&lt;2,0,11-MOD(SUMPRODUCT(--MID(SUBSTITUTE(SUBSTITUTE(SUBSTITUTE(SUBSTITUTE(E121,".",""),"-","")," ",""),"/",""),{1,2,3,4,5,6,7,8,9},1),{10,9,8,7,6,5,4,3,2}),11)),VALUE(MID(SUBSTITUTE(SUBSTITUTE(SUBSTITUTE(SUBSTITUTE(E121,".",""),"-","")," ",""),"/",""),11,1))=IF(MOD(SUMPRODUCT(--MID(SUBSTITUTE(SUBSTITUTE(SUBSTITUTE(SUBSTITUTE(E121,".",""),"-","")," ",""),"/",""),{1,2,3,4,5,6,7,8,9,10},1),{11,10,9,8,7,6,5,4,3,2}),11)&lt;2,0,11-MOD(SUMPRODUCT(--MID(SUBSTITUTE(SUBSTITUTE(SUBSTITUTE(SUBSTITUTE(E121,".",""),"-","")," ",""),"/",""),{1,2,3,4,5,6,7,8,9,10},1),{11,10,9,8,7,6,5,4,3,2}),11))),FALSE()),AND(LEN(SUBSTITUTE(SUBSTITUTE(SUBSTITUTE(SUBSTITUTE(E121,".",""),"-","")," ",""),"/",""))=14,ISNUMBER(VALUE(SUBSTITUTE(SUBSTITUTE(SUBSTITUTE(SUBSTITUTE(E121,".",""),"-","")," ",""),"/",""))))),FALSE()))),"Revisar",IF(G121&lt;&gt;"Sim","Falta comprovante",IF(AND(B121="Educação",SUMIFS($F$6:$F$155,$B$6:$B$155,"Educação",$C$6:$C$155,C121)&gt;Parâmetros!$B$6),"Acima do limite","OK"))))</f>
        <v/>
      </c>
    </row>
    <row r="122" customFormat="false" ht="15" hidden="false" customHeight="false" outlineLevel="0" collapsed="false">
      <c r="A122" s="19"/>
      <c r="B122" s="18"/>
      <c r="C122" s="18"/>
      <c r="D122" s="18"/>
      <c r="E122" s="18"/>
      <c r="F122" s="22"/>
      <c r="G122" s="23"/>
      <c r="H122" s="18"/>
      <c r="I122" s="20" t="str">
        <f aca="false">IF(AND(B122="",F122=""),"",IF(OR(A122="",B122="",C122="",F122="",NOT(IFERROR(OR(IFERROR(AND(LEN(SUBSTITUTE(SUBSTITUTE(SUBSTITUTE(SUBSTITUTE(E122,".",""),"-","")," ",""),"/",""))=11,SUBSTITUTE(SUBSTITUTE(SUBSTITUTE(SUBSTITUTE(E122,".",""),"-","")," ",""),"/","")&lt;&gt;REPT(LEFT(SUBSTITUTE(SUBSTITUTE(SUBSTITUTE(SUBSTITUTE(E122,".",""),"-","")," ",""),"/",""),1),11),VALUE(MID(SUBSTITUTE(SUBSTITUTE(SUBSTITUTE(SUBSTITUTE(E122,".",""),"-","")," ",""),"/",""),10,1))=IF(MOD(SUMPRODUCT(--MID(SUBSTITUTE(SUBSTITUTE(SUBSTITUTE(SUBSTITUTE(E122,".",""),"-","")," ",""),"/",""),{1,2,3,4,5,6,7,8,9},1),{10,9,8,7,6,5,4,3,2}),11)&lt;2,0,11-MOD(SUMPRODUCT(--MID(SUBSTITUTE(SUBSTITUTE(SUBSTITUTE(SUBSTITUTE(E122,".",""),"-","")," ",""),"/",""),{1,2,3,4,5,6,7,8,9},1),{10,9,8,7,6,5,4,3,2}),11)),VALUE(MID(SUBSTITUTE(SUBSTITUTE(SUBSTITUTE(SUBSTITUTE(E122,".",""),"-","")," ",""),"/",""),11,1))=IF(MOD(SUMPRODUCT(--MID(SUBSTITUTE(SUBSTITUTE(SUBSTITUTE(SUBSTITUTE(E122,".",""),"-","")," ",""),"/",""),{1,2,3,4,5,6,7,8,9,10},1),{11,10,9,8,7,6,5,4,3,2}),11)&lt;2,0,11-MOD(SUMPRODUCT(--MID(SUBSTITUTE(SUBSTITUTE(SUBSTITUTE(SUBSTITUTE(E122,".",""),"-","")," ",""),"/",""),{1,2,3,4,5,6,7,8,9,10},1),{11,10,9,8,7,6,5,4,3,2}),11))),FALSE()),AND(LEN(SUBSTITUTE(SUBSTITUTE(SUBSTITUTE(SUBSTITUTE(E122,".",""),"-","")," ",""),"/",""))=14,ISNUMBER(VALUE(SUBSTITUTE(SUBSTITUTE(SUBSTITUTE(SUBSTITUTE(E122,".",""),"-","")," ",""),"/",""))))),FALSE()))),"Revisar",IF(G122&lt;&gt;"Sim","Falta comprovante",IF(AND(B122="Educação",SUMIFS($F$6:$F$155,$B$6:$B$155,"Educação",$C$6:$C$155,C122)&gt;Parâmetros!$B$6),"Acima do limite","OK"))))</f>
        <v/>
      </c>
    </row>
    <row r="123" customFormat="false" ht="15" hidden="false" customHeight="false" outlineLevel="0" collapsed="false">
      <c r="A123" s="19"/>
      <c r="B123" s="18"/>
      <c r="C123" s="18"/>
      <c r="D123" s="18"/>
      <c r="E123" s="18"/>
      <c r="F123" s="22"/>
      <c r="G123" s="23"/>
      <c r="H123" s="18"/>
      <c r="I123" s="20" t="str">
        <f aca="false">IF(AND(B123="",F123=""),"",IF(OR(A123="",B123="",C123="",F123="",NOT(IFERROR(OR(IFERROR(AND(LEN(SUBSTITUTE(SUBSTITUTE(SUBSTITUTE(SUBSTITUTE(E123,".",""),"-","")," ",""),"/",""))=11,SUBSTITUTE(SUBSTITUTE(SUBSTITUTE(SUBSTITUTE(E123,".",""),"-","")," ",""),"/","")&lt;&gt;REPT(LEFT(SUBSTITUTE(SUBSTITUTE(SUBSTITUTE(SUBSTITUTE(E123,".",""),"-","")," ",""),"/",""),1),11),VALUE(MID(SUBSTITUTE(SUBSTITUTE(SUBSTITUTE(SUBSTITUTE(E123,".",""),"-","")," ",""),"/",""),10,1))=IF(MOD(SUMPRODUCT(--MID(SUBSTITUTE(SUBSTITUTE(SUBSTITUTE(SUBSTITUTE(E123,".",""),"-","")," ",""),"/",""),{1,2,3,4,5,6,7,8,9},1),{10,9,8,7,6,5,4,3,2}),11)&lt;2,0,11-MOD(SUMPRODUCT(--MID(SUBSTITUTE(SUBSTITUTE(SUBSTITUTE(SUBSTITUTE(E123,".",""),"-","")," ",""),"/",""),{1,2,3,4,5,6,7,8,9},1),{10,9,8,7,6,5,4,3,2}),11)),VALUE(MID(SUBSTITUTE(SUBSTITUTE(SUBSTITUTE(SUBSTITUTE(E123,".",""),"-","")," ",""),"/",""),11,1))=IF(MOD(SUMPRODUCT(--MID(SUBSTITUTE(SUBSTITUTE(SUBSTITUTE(SUBSTITUTE(E123,".",""),"-","")," ",""),"/",""),{1,2,3,4,5,6,7,8,9,10},1),{11,10,9,8,7,6,5,4,3,2}),11)&lt;2,0,11-MOD(SUMPRODUCT(--MID(SUBSTITUTE(SUBSTITUTE(SUBSTITUTE(SUBSTITUTE(E123,".",""),"-","")," ",""),"/",""),{1,2,3,4,5,6,7,8,9,10},1),{11,10,9,8,7,6,5,4,3,2}),11))),FALSE()),AND(LEN(SUBSTITUTE(SUBSTITUTE(SUBSTITUTE(SUBSTITUTE(E123,".",""),"-","")," ",""),"/",""))=14,ISNUMBER(VALUE(SUBSTITUTE(SUBSTITUTE(SUBSTITUTE(SUBSTITUTE(E123,".",""),"-","")," ",""),"/",""))))),FALSE()))),"Revisar",IF(G123&lt;&gt;"Sim","Falta comprovante",IF(AND(B123="Educação",SUMIFS($F$6:$F$155,$B$6:$B$155,"Educação",$C$6:$C$155,C123)&gt;Parâmetros!$B$6),"Acima do limite","OK"))))</f>
        <v/>
      </c>
    </row>
    <row r="124" customFormat="false" ht="15" hidden="false" customHeight="false" outlineLevel="0" collapsed="false">
      <c r="A124" s="19"/>
      <c r="B124" s="18"/>
      <c r="C124" s="18"/>
      <c r="D124" s="18"/>
      <c r="E124" s="18"/>
      <c r="F124" s="22"/>
      <c r="G124" s="23"/>
      <c r="H124" s="18"/>
      <c r="I124" s="20" t="str">
        <f aca="false">IF(AND(B124="",F124=""),"",IF(OR(A124="",B124="",C124="",F124="",NOT(IFERROR(OR(IFERROR(AND(LEN(SUBSTITUTE(SUBSTITUTE(SUBSTITUTE(SUBSTITUTE(E124,".",""),"-","")," ",""),"/",""))=11,SUBSTITUTE(SUBSTITUTE(SUBSTITUTE(SUBSTITUTE(E124,".",""),"-","")," ",""),"/","")&lt;&gt;REPT(LEFT(SUBSTITUTE(SUBSTITUTE(SUBSTITUTE(SUBSTITUTE(E124,".",""),"-","")," ",""),"/",""),1),11),VALUE(MID(SUBSTITUTE(SUBSTITUTE(SUBSTITUTE(SUBSTITUTE(E124,".",""),"-","")," ",""),"/",""),10,1))=IF(MOD(SUMPRODUCT(--MID(SUBSTITUTE(SUBSTITUTE(SUBSTITUTE(SUBSTITUTE(E124,".",""),"-","")," ",""),"/",""),{1,2,3,4,5,6,7,8,9},1),{10,9,8,7,6,5,4,3,2}),11)&lt;2,0,11-MOD(SUMPRODUCT(--MID(SUBSTITUTE(SUBSTITUTE(SUBSTITUTE(SUBSTITUTE(E124,".",""),"-","")," ",""),"/",""),{1,2,3,4,5,6,7,8,9},1),{10,9,8,7,6,5,4,3,2}),11)),VALUE(MID(SUBSTITUTE(SUBSTITUTE(SUBSTITUTE(SUBSTITUTE(E124,".",""),"-","")," ",""),"/",""),11,1))=IF(MOD(SUMPRODUCT(--MID(SUBSTITUTE(SUBSTITUTE(SUBSTITUTE(SUBSTITUTE(E124,".",""),"-","")," ",""),"/",""),{1,2,3,4,5,6,7,8,9,10},1),{11,10,9,8,7,6,5,4,3,2}),11)&lt;2,0,11-MOD(SUMPRODUCT(--MID(SUBSTITUTE(SUBSTITUTE(SUBSTITUTE(SUBSTITUTE(E124,".",""),"-","")," ",""),"/",""),{1,2,3,4,5,6,7,8,9,10},1),{11,10,9,8,7,6,5,4,3,2}),11))),FALSE()),AND(LEN(SUBSTITUTE(SUBSTITUTE(SUBSTITUTE(SUBSTITUTE(E124,".",""),"-","")," ",""),"/",""))=14,ISNUMBER(VALUE(SUBSTITUTE(SUBSTITUTE(SUBSTITUTE(SUBSTITUTE(E124,".",""),"-","")," ",""),"/",""))))),FALSE()))),"Revisar",IF(G124&lt;&gt;"Sim","Falta comprovante",IF(AND(B124="Educação",SUMIFS($F$6:$F$155,$B$6:$B$155,"Educação",$C$6:$C$155,C124)&gt;Parâmetros!$B$6),"Acima do limite","OK"))))</f>
        <v/>
      </c>
    </row>
    <row r="125" customFormat="false" ht="15" hidden="false" customHeight="false" outlineLevel="0" collapsed="false">
      <c r="A125" s="19"/>
      <c r="B125" s="18"/>
      <c r="C125" s="18"/>
      <c r="D125" s="18"/>
      <c r="E125" s="18"/>
      <c r="F125" s="22"/>
      <c r="G125" s="23"/>
      <c r="H125" s="18"/>
      <c r="I125" s="20" t="str">
        <f aca="false">IF(AND(B125="",F125=""),"",IF(OR(A125="",B125="",C125="",F125="",NOT(IFERROR(OR(IFERROR(AND(LEN(SUBSTITUTE(SUBSTITUTE(SUBSTITUTE(SUBSTITUTE(E125,".",""),"-","")," ",""),"/",""))=11,SUBSTITUTE(SUBSTITUTE(SUBSTITUTE(SUBSTITUTE(E125,".",""),"-","")," ",""),"/","")&lt;&gt;REPT(LEFT(SUBSTITUTE(SUBSTITUTE(SUBSTITUTE(SUBSTITUTE(E125,".",""),"-","")," ",""),"/",""),1),11),VALUE(MID(SUBSTITUTE(SUBSTITUTE(SUBSTITUTE(SUBSTITUTE(E125,".",""),"-","")," ",""),"/",""),10,1))=IF(MOD(SUMPRODUCT(--MID(SUBSTITUTE(SUBSTITUTE(SUBSTITUTE(SUBSTITUTE(E125,".",""),"-","")," ",""),"/",""),{1,2,3,4,5,6,7,8,9},1),{10,9,8,7,6,5,4,3,2}),11)&lt;2,0,11-MOD(SUMPRODUCT(--MID(SUBSTITUTE(SUBSTITUTE(SUBSTITUTE(SUBSTITUTE(E125,".",""),"-","")," ",""),"/",""),{1,2,3,4,5,6,7,8,9},1),{10,9,8,7,6,5,4,3,2}),11)),VALUE(MID(SUBSTITUTE(SUBSTITUTE(SUBSTITUTE(SUBSTITUTE(E125,".",""),"-","")," ",""),"/",""),11,1))=IF(MOD(SUMPRODUCT(--MID(SUBSTITUTE(SUBSTITUTE(SUBSTITUTE(SUBSTITUTE(E125,".",""),"-","")," ",""),"/",""),{1,2,3,4,5,6,7,8,9,10},1),{11,10,9,8,7,6,5,4,3,2}),11)&lt;2,0,11-MOD(SUMPRODUCT(--MID(SUBSTITUTE(SUBSTITUTE(SUBSTITUTE(SUBSTITUTE(E125,".",""),"-","")," ",""),"/",""),{1,2,3,4,5,6,7,8,9,10},1),{11,10,9,8,7,6,5,4,3,2}),11))),FALSE()),AND(LEN(SUBSTITUTE(SUBSTITUTE(SUBSTITUTE(SUBSTITUTE(E125,".",""),"-","")," ",""),"/",""))=14,ISNUMBER(VALUE(SUBSTITUTE(SUBSTITUTE(SUBSTITUTE(SUBSTITUTE(E125,".",""),"-","")," ",""),"/",""))))),FALSE()))),"Revisar",IF(G125&lt;&gt;"Sim","Falta comprovante",IF(AND(B125="Educação",SUMIFS($F$6:$F$155,$B$6:$B$155,"Educação",$C$6:$C$155,C125)&gt;Parâmetros!$B$6),"Acima do limite","OK"))))</f>
        <v/>
      </c>
    </row>
    <row r="126" customFormat="false" ht="15" hidden="false" customHeight="false" outlineLevel="0" collapsed="false">
      <c r="A126" s="19"/>
      <c r="B126" s="18"/>
      <c r="C126" s="18"/>
      <c r="D126" s="18"/>
      <c r="E126" s="18"/>
      <c r="F126" s="22"/>
      <c r="G126" s="23"/>
      <c r="H126" s="18"/>
      <c r="I126" s="20" t="str">
        <f aca="false">IF(AND(B126="",F126=""),"",IF(OR(A126="",B126="",C126="",F126="",NOT(IFERROR(OR(IFERROR(AND(LEN(SUBSTITUTE(SUBSTITUTE(SUBSTITUTE(SUBSTITUTE(E126,".",""),"-","")," ",""),"/",""))=11,SUBSTITUTE(SUBSTITUTE(SUBSTITUTE(SUBSTITUTE(E126,".",""),"-","")," ",""),"/","")&lt;&gt;REPT(LEFT(SUBSTITUTE(SUBSTITUTE(SUBSTITUTE(SUBSTITUTE(E126,".",""),"-","")," ",""),"/",""),1),11),VALUE(MID(SUBSTITUTE(SUBSTITUTE(SUBSTITUTE(SUBSTITUTE(E126,".",""),"-","")," ",""),"/",""),10,1))=IF(MOD(SUMPRODUCT(--MID(SUBSTITUTE(SUBSTITUTE(SUBSTITUTE(SUBSTITUTE(E126,".",""),"-","")," ",""),"/",""),{1,2,3,4,5,6,7,8,9},1),{10,9,8,7,6,5,4,3,2}),11)&lt;2,0,11-MOD(SUMPRODUCT(--MID(SUBSTITUTE(SUBSTITUTE(SUBSTITUTE(SUBSTITUTE(E126,".",""),"-","")," ",""),"/",""),{1,2,3,4,5,6,7,8,9},1),{10,9,8,7,6,5,4,3,2}),11)),VALUE(MID(SUBSTITUTE(SUBSTITUTE(SUBSTITUTE(SUBSTITUTE(E126,".",""),"-","")," ",""),"/",""),11,1))=IF(MOD(SUMPRODUCT(--MID(SUBSTITUTE(SUBSTITUTE(SUBSTITUTE(SUBSTITUTE(E126,".",""),"-","")," ",""),"/",""),{1,2,3,4,5,6,7,8,9,10},1),{11,10,9,8,7,6,5,4,3,2}),11)&lt;2,0,11-MOD(SUMPRODUCT(--MID(SUBSTITUTE(SUBSTITUTE(SUBSTITUTE(SUBSTITUTE(E126,".",""),"-","")," ",""),"/",""),{1,2,3,4,5,6,7,8,9,10},1),{11,10,9,8,7,6,5,4,3,2}),11))),FALSE()),AND(LEN(SUBSTITUTE(SUBSTITUTE(SUBSTITUTE(SUBSTITUTE(E126,".",""),"-","")," ",""),"/",""))=14,ISNUMBER(VALUE(SUBSTITUTE(SUBSTITUTE(SUBSTITUTE(SUBSTITUTE(E126,".",""),"-","")," ",""),"/",""))))),FALSE()))),"Revisar",IF(G126&lt;&gt;"Sim","Falta comprovante",IF(AND(B126="Educação",SUMIFS($F$6:$F$155,$B$6:$B$155,"Educação",$C$6:$C$155,C126)&gt;Parâmetros!$B$6),"Acima do limite","OK"))))</f>
        <v/>
      </c>
    </row>
    <row r="127" customFormat="false" ht="15" hidden="false" customHeight="false" outlineLevel="0" collapsed="false">
      <c r="A127" s="19"/>
      <c r="B127" s="18"/>
      <c r="C127" s="18"/>
      <c r="D127" s="18"/>
      <c r="E127" s="18"/>
      <c r="F127" s="22"/>
      <c r="G127" s="23"/>
      <c r="H127" s="18"/>
      <c r="I127" s="20" t="str">
        <f aca="false">IF(AND(B127="",F127=""),"",IF(OR(A127="",B127="",C127="",F127="",NOT(IFERROR(OR(IFERROR(AND(LEN(SUBSTITUTE(SUBSTITUTE(SUBSTITUTE(SUBSTITUTE(E127,".",""),"-","")," ",""),"/",""))=11,SUBSTITUTE(SUBSTITUTE(SUBSTITUTE(SUBSTITUTE(E127,".",""),"-","")," ",""),"/","")&lt;&gt;REPT(LEFT(SUBSTITUTE(SUBSTITUTE(SUBSTITUTE(SUBSTITUTE(E127,".",""),"-","")," ",""),"/",""),1),11),VALUE(MID(SUBSTITUTE(SUBSTITUTE(SUBSTITUTE(SUBSTITUTE(E127,".",""),"-","")," ",""),"/",""),10,1))=IF(MOD(SUMPRODUCT(--MID(SUBSTITUTE(SUBSTITUTE(SUBSTITUTE(SUBSTITUTE(E127,".",""),"-","")," ",""),"/",""),{1,2,3,4,5,6,7,8,9},1),{10,9,8,7,6,5,4,3,2}),11)&lt;2,0,11-MOD(SUMPRODUCT(--MID(SUBSTITUTE(SUBSTITUTE(SUBSTITUTE(SUBSTITUTE(E127,".",""),"-","")," ",""),"/",""),{1,2,3,4,5,6,7,8,9},1),{10,9,8,7,6,5,4,3,2}),11)),VALUE(MID(SUBSTITUTE(SUBSTITUTE(SUBSTITUTE(SUBSTITUTE(E127,".",""),"-","")," ",""),"/",""),11,1))=IF(MOD(SUMPRODUCT(--MID(SUBSTITUTE(SUBSTITUTE(SUBSTITUTE(SUBSTITUTE(E127,".",""),"-","")," ",""),"/",""),{1,2,3,4,5,6,7,8,9,10},1),{11,10,9,8,7,6,5,4,3,2}),11)&lt;2,0,11-MOD(SUMPRODUCT(--MID(SUBSTITUTE(SUBSTITUTE(SUBSTITUTE(SUBSTITUTE(E127,".",""),"-","")," ",""),"/",""),{1,2,3,4,5,6,7,8,9,10},1),{11,10,9,8,7,6,5,4,3,2}),11))),FALSE()),AND(LEN(SUBSTITUTE(SUBSTITUTE(SUBSTITUTE(SUBSTITUTE(E127,".",""),"-","")," ",""),"/",""))=14,ISNUMBER(VALUE(SUBSTITUTE(SUBSTITUTE(SUBSTITUTE(SUBSTITUTE(E127,".",""),"-","")," ",""),"/",""))))),FALSE()))),"Revisar",IF(G127&lt;&gt;"Sim","Falta comprovante",IF(AND(B127="Educação",SUMIFS($F$6:$F$155,$B$6:$B$155,"Educação",$C$6:$C$155,C127)&gt;Parâmetros!$B$6),"Acima do limite","OK"))))</f>
        <v/>
      </c>
    </row>
    <row r="128" customFormat="false" ht="15" hidden="false" customHeight="false" outlineLevel="0" collapsed="false">
      <c r="A128" s="19"/>
      <c r="B128" s="18"/>
      <c r="C128" s="18"/>
      <c r="D128" s="18"/>
      <c r="E128" s="18"/>
      <c r="F128" s="22"/>
      <c r="G128" s="23"/>
      <c r="H128" s="18"/>
      <c r="I128" s="20" t="str">
        <f aca="false">IF(AND(B128="",F128=""),"",IF(OR(A128="",B128="",C128="",F128="",NOT(IFERROR(OR(IFERROR(AND(LEN(SUBSTITUTE(SUBSTITUTE(SUBSTITUTE(SUBSTITUTE(E128,".",""),"-","")," ",""),"/",""))=11,SUBSTITUTE(SUBSTITUTE(SUBSTITUTE(SUBSTITUTE(E128,".",""),"-","")," ",""),"/","")&lt;&gt;REPT(LEFT(SUBSTITUTE(SUBSTITUTE(SUBSTITUTE(SUBSTITUTE(E128,".",""),"-","")," ",""),"/",""),1),11),VALUE(MID(SUBSTITUTE(SUBSTITUTE(SUBSTITUTE(SUBSTITUTE(E128,".",""),"-","")," ",""),"/",""),10,1))=IF(MOD(SUMPRODUCT(--MID(SUBSTITUTE(SUBSTITUTE(SUBSTITUTE(SUBSTITUTE(E128,".",""),"-","")," ",""),"/",""),{1,2,3,4,5,6,7,8,9},1),{10,9,8,7,6,5,4,3,2}),11)&lt;2,0,11-MOD(SUMPRODUCT(--MID(SUBSTITUTE(SUBSTITUTE(SUBSTITUTE(SUBSTITUTE(E128,".",""),"-","")," ",""),"/",""),{1,2,3,4,5,6,7,8,9},1),{10,9,8,7,6,5,4,3,2}),11)),VALUE(MID(SUBSTITUTE(SUBSTITUTE(SUBSTITUTE(SUBSTITUTE(E128,".",""),"-","")," ",""),"/",""),11,1))=IF(MOD(SUMPRODUCT(--MID(SUBSTITUTE(SUBSTITUTE(SUBSTITUTE(SUBSTITUTE(E128,".",""),"-","")," ",""),"/",""),{1,2,3,4,5,6,7,8,9,10},1),{11,10,9,8,7,6,5,4,3,2}),11)&lt;2,0,11-MOD(SUMPRODUCT(--MID(SUBSTITUTE(SUBSTITUTE(SUBSTITUTE(SUBSTITUTE(E128,".",""),"-","")," ",""),"/",""),{1,2,3,4,5,6,7,8,9,10},1),{11,10,9,8,7,6,5,4,3,2}),11))),FALSE()),AND(LEN(SUBSTITUTE(SUBSTITUTE(SUBSTITUTE(SUBSTITUTE(E128,".",""),"-","")," ",""),"/",""))=14,ISNUMBER(VALUE(SUBSTITUTE(SUBSTITUTE(SUBSTITUTE(SUBSTITUTE(E128,".",""),"-","")," ",""),"/",""))))),FALSE()))),"Revisar",IF(G128&lt;&gt;"Sim","Falta comprovante",IF(AND(B128="Educação",SUMIFS($F$6:$F$155,$B$6:$B$155,"Educação",$C$6:$C$155,C128)&gt;Parâmetros!$B$6),"Acima do limite","OK"))))</f>
        <v/>
      </c>
    </row>
    <row r="129" customFormat="false" ht="15" hidden="false" customHeight="false" outlineLevel="0" collapsed="false">
      <c r="A129" s="19"/>
      <c r="B129" s="18"/>
      <c r="C129" s="18"/>
      <c r="D129" s="18"/>
      <c r="E129" s="18"/>
      <c r="F129" s="22"/>
      <c r="G129" s="23"/>
      <c r="H129" s="18"/>
      <c r="I129" s="20" t="str">
        <f aca="false">IF(AND(B129="",F129=""),"",IF(OR(A129="",B129="",C129="",F129="",NOT(IFERROR(OR(IFERROR(AND(LEN(SUBSTITUTE(SUBSTITUTE(SUBSTITUTE(SUBSTITUTE(E129,".",""),"-","")," ",""),"/",""))=11,SUBSTITUTE(SUBSTITUTE(SUBSTITUTE(SUBSTITUTE(E129,".",""),"-","")," ",""),"/","")&lt;&gt;REPT(LEFT(SUBSTITUTE(SUBSTITUTE(SUBSTITUTE(SUBSTITUTE(E129,".",""),"-","")," ",""),"/",""),1),11),VALUE(MID(SUBSTITUTE(SUBSTITUTE(SUBSTITUTE(SUBSTITUTE(E129,".",""),"-","")," ",""),"/",""),10,1))=IF(MOD(SUMPRODUCT(--MID(SUBSTITUTE(SUBSTITUTE(SUBSTITUTE(SUBSTITUTE(E129,".",""),"-","")," ",""),"/",""),{1,2,3,4,5,6,7,8,9},1),{10,9,8,7,6,5,4,3,2}),11)&lt;2,0,11-MOD(SUMPRODUCT(--MID(SUBSTITUTE(SUBSTITUTE(SUBSTITUTE(SUBSTITUTE(E129,".",""),"-","")," ",""),"/",""),{1,2,3,4,5,6,7,8,9},1),{10,9,8,7,6,5,4,3,2}),11)),VALUE(MID(SUBSTITUTE(SUBSTITUTE(SUBSTITUTE(SUBSTITUTE(E129,".",""),"-","")," ",""),"/",""),11,1))=IF(MOD(SUMPRODUCT(--MID(SUBSTITUTE(SUBSTITUTE(SUBSTITUTE(SUBSTITUTE(E129,".",""),"-","")," ",""),"/",""),{1,2,3,4,5,6,7,8,9,10},1),{11,10,9,8,7,6,5,4,3,2}),11)&lt;2,0,11-MOD(SUMPRODUCT(--MID(SUBSTITUTE(SUBSTITUTE(SUBSTITUTE(SUBSTITUTE(E129,".",""),"-","")," ",""),"/",""),{1,2,3,4,5,6,7,8,9,10},1),{11,10,9,8,7,6,5,4,3,2}),11))),FALSE()),AND(LEN(SUBSTITUTE(SUBSTITUTE(SUBSTITUTE(SUBSTITUTE(E129,".",""),"-","")," ",""),"/",""))=14,ISNUMBER(VALUE(SUBSTITUTE(SUBSTITUTE(SUBSTITUTE(SUBSTITUTE(E129,".",""),"-","")," ",""),"/",""))))),FALSE()))),"Revisar",IF(G129&lt;&gt;"Sim","Falta comprovante",IF(AND(B129="Educação",SUMIFS($F$6:$F$155,$B$6:$B$155,"Educação",$C$6:$C$155,C129)&gt;Parâmetros!$B$6),"Acima do limite","OK"))))</f>
        <v/>
      </c>
    </row>
    <row r="130" customFormat="false" ht="15" hidden="false" customHeight="false" outlineLevel="0" collapsed="false">
      <c r="A130" s="19"/>
      <c r="B130" s="18"/>
      <c r="C130" s="18"/>
      <c r="D130" s="18"/>
      <c r="E130" s="18"/>
      <c r="F130" s="22"/>
      <c r="G130" s="23"/>
      <c r="H130" s="18"/>
      <c r="I130" s="20" t="str">
        <f aca="false">IF(AND(B130="",F130=""),"",IF(OR(A130="",B130="",C130="",F130="",NOT(IFERROR(OR(IFERROR(AND(LEN(SUBSTITUTE(SUBSTITUTE(SUBSTITUTE(SUBSTITUTE(E130,".",""),"-","")," ",""),"/",""))=11,SUBSTITUTE(SUBSTITUTE(SUBSTITUTE(SUBSTITUTE(E130,".",""),"-","")," ",""),"/","")&lt;&gt;REPT(LEFT(SUBSTITUTE(SUBSTITUTE(SUBSTITUTE(SUBSTITUTE(E130,".",""),"-","")," ",""),"/",""),1),11),VALUE(MID(SUBSTITUTE(SUBSTITUTE(SUBSTITUTE(SUBSTITUTE(E130,".",""),"-","")," ",""),"/",""),10,1))=IF(MOD(SUMPRODUCT(--MID(SUBSTITUTE(SUBSTITUTE(SUBSTITUTE(SUBSTITUTE(E130,".",""),"-","")," ",""),"/",""),{1,2,3,4,5,6,7,8,9},1),{10,9,8,7,6,5,4,3,2}),11)&lt;2,0,11-MOD(SUMPRODUCT(--MID(SUBSTITUTE(SUBSTITUTE(SUBSTITUTE(SUBSTITUTE(E130,".",""),"-","")," ",""),"/",""),{1,2,3,4,5,6,7,8,9},1),{10,9,8,7,6,5,4,3,2}),11)),VALUE(MID(SUBSTITUTE(SUBSTITUTE(SUBSTITUTE(SUBSTITUTE(E130,".",""),"-","")," ",""),"/",""),11,1))=IF(MOD(SUMPRODUCT(--MID(SUBSTITUTE(SUBSTITUTE(SUBSTITUTE(SUBSTITUTE(E130,".",""),"-","")," ",""),"/",""),{1,2,3,4,5,6,7,8,9,10},1),{11,10,9,8,7,6,5,4,3,2}),11)&lt;2,0,11-MOD(SUMPRODUCT(--MID(SUBSTITUTE(SUBSTITUTE(SUBSTITUTE(SUBSTITUTE(E130,".",""),"-","")," ",""),"/",""),{1,2,3,4,5,6,7,8,9,10},1),{11,10,9,8,7,6,5,4,3,2}),11))),FALSE()),AND(LEN(SUBSTITUTE(SUBSTITUTE(SUBSTITUTE(SUBSTITUTE(E130,".",""),"-","")," ",""),"/",""))=14,ISNUMBER(VALUE(SUBSTITUTE(SUBSTITUTE(SUBSTITUTE(SUBSTITUTE(E130,".",""),"-","")," ",""),"/",""))))),FALSE()))),"Revisar",IF(G130&lt;&gt;"Sim","Falta comprovante",IF(AND(B130="Educação",SUMIFS($F$6:$F$155,$B$6:$B$155,"Educação",$C$6:$C$155,C130)&gt;Parâmetros!$B$6),"Acima do limite","OK"))))</f>
        <v/>
      </c>
    </row>
    <row r="131" customFormat="false" ht="15" hidden="false" customHeight="false" outlineLevel="0" collapsed="false">
      <c r="A131" s="19"/>
      <c r="B131" s="18"/>
      <c r="C131" s="18"/>
      <c r="D131" s="18"/>
      <c r="E131" s="18"/>
      <c r="F131" s="22"/>
      <c r="G131" s="23"/>
      <c r="H131" s="18"/>
      <c r="I131" s="20" t="str">
        <f aca="false">IF(AND(B131="",F131=""),"",IF(OR(A131="",B131="",C131="",F131="",NOT(IFERROR(OR(IFERROR(AND(LEN(SUBSTITUTE(SUBSTITUTE(SUBSTITUTE(SUBSTITUTE(E131,".",""),"-","")," ",""),"/",""))=11,SUBSTITUTE(SUBSTITUTE(SUBSTITUTE(SUBSTITUTE(E131,".",""),"-","")," ",""),"/","")&lt;&gt;REPT(LEFT(SUBSTITUTE(SUBSTITUTE(SUBSTITUTE(SUBSTITUTE(E131,".",""),"-","")," ",""),"/",""),1),11),VALUE(MID(SUBSTITUTE(SUBSTITUTE(SUBSTITUTE(SUBSTITUTE(E131,".",""),"-","")," ",""),"/",""),10,1))=IF(MOD(SUMPRODUCT(--MID(SUBSTITUTE(SUBSTITUTE(SUBSTITUTE(SUBSTITUTE(E131,".",""),"-","")," ",""),"/",""),{1,2,3,4,5,6,7,8,9},1),{10,9,8,7,6,5,4,3,2}),11)&lt;2,0,11-MOD(SUMPRODUCT(--MID(SUBSTITUTE(SUBSTITUTE(SUBSTITUTE(SUBSTITUTE(E131,".",""),"-","")," ",""),"/",""),{1,2,3,4,5,6,7,8,9},1),{10,9,8,7,6,5,4,3,2}),11)),VALUE(MID(SUBSTITUTE(SUBSTITUTE(SUBSTITUTE(SUBSTITUTE(E131,".",""),"-","")," ",""),"/",""),11,1))=IF(MOD(SUMPRODUCT(--MID(SUBSTITUTE(SUBSTITUTE(SUBSTITUTE(SUBSTITUTE(E131,".",""),"-","")," ",""),"/",""),{1,2,3,4,5,6,7,8,9,10},1),{11,10,9,8,7,6,5,4,3,2}),11)&lt;2,0,11-MOD(SUMPRODUCT(--MID(SUBSTITUTE(SUBSTITUTE(SUBSTITUTE(SUBSTITUTE(E131,".",""),"-","")," ",""),"/",""),{1,2,3,4,5,6,7,8,9,10},1),{11,10,9,8,7,6,5,4,3,2}),11))),FALSE()),AND(LEN(SUBSTITUTE(SUBSTITUTE(SUBSTITUTE(SUBSTITUTE(E131,".",""),"-","")," ",""),"/",""))=14,ISNUMBER(VALUE(SUBSTITUTE(SUBSTITUTE(SUBSTITUTE(SUBSTITUTE(E131,".",""),"-","")," ",""),"/",""))))),FALSE()))),"Revisar",IF(G131&lt;&gt;"Sim","Falta comprovante",IF(AND(B131="Educação",SUMIFS($F$6:$F$155,$B$6:$B$155,"Educação",$C$6:$C$155,C131)&gt;Parâmetros!$B$6),"Acima do limite","OK"))))</f>
        <v/>
      </c>
    </row>
    <row r="132" customFormat="false" ht="15" hidden="false" customHeight="false" outlineLevel="0" collapsed="false">
      <c r="A132" s="19"/>
      <c r="B132" s="18"/>
      <c r="C132" s="18"/>
      <c r="D132" s="18"/>
      <c r="E132" s="18"/>
      <c r="F132" s="22"/>
      <c r="G132" s="23"/>
      <c r="H132" s="18"/>
      <c r="I132" s="20" t="str">
        <f aca="false">IF(AND(B132="",F132=""),"",IF(OR(A132="",B132="",C132="",F132="",NOT(IFERROR(OR(IFERROR(AND(LEN(SUBSTITUTE(SUBSTITUTE(SUBSTITUTE(SUBSTITUTE(E132,".",""),"-","")," ",""),"/",""))=11,SUBSTITUTE(SUBSTITUTE(SUBSTITUTE(SUBSTITUTE(E132,".",""),"-","")," ",""),"/","")&lt;&gt;REPT(LEFT(SUBSTITUTE(SUBSTITUTE(SUBSTITUTE(SUBSTITUTE(E132,".",""),"-","")," ",""),"/",""),1),11),VALUE(MID(SUBSTITUTE(SUBSTITUTE(SUBSTITUTE(SUBSTITUTE(E132,".",""),"-","")," ",""),"/",""),10,1))=IF(MOD(SUMPRODUCT(--MID(SUBSTITUTE(SUBSTITUTE(SUBSTITUTE(SUBSTITUTE(E132,".",""),"-","")," ",""),"/",""),{1,2,3,4,5,6,7,8,9},1),{10,9,8,7,6,5,4,3,2}),11)&lt;2,0,11-MOD(SUMPRODUCT(--MID(SUBSTITUTE(SUBSTITUTE(SUBSTITUTE(SUBSTITUTE(E132,".",""),"-","")," ",""),"/",""),{1,2,3,4,5,6,7,8,9},1),{10,9,8,7,6,5,4,3,2}),11)),VALUE(MID(SUBSTITUTE(SUBSTITUTE(SUBSTITUTE(SUBSTITUTE(E132,".",""),"-","")," ",""),"/",""),11,1))=IF(MOD(SUMPRODUCT(--MID(SUBSTITUTE(SUBSTITUTE(SUBSTITUTE(SUBSTITUTE(E132,".",""),"-","")," ",""),"/",""),{1,2,3,4,5,6,7,8,9,10},1),{11,10,9,8,7,6,5,4,3,2}),11)&lt;2,0,11-MOD(SUMPRODUCT(--MID(SUBSTITUTE(SUBSTITUTE(SUBSTITUTE(SUBSTITUTE(E132,".",""),"-","")," ",""),"/",""),{1,2,3,4,5,6,7,8,9,10},1),{11,10,9,8,7,6,5,4,3,2}),11))),FALSE()),AND(LEN(SUBSTITUTE(SUBSTITUTE(SUBSTITUTE(SUBSTITUTE(E132,".",""),"-","")," ",""),"/",""))=14,ISNUMBER(VALUE(SUBSTITUTE(SUBSTITUTE(SUBSTITUTE(SUBSTITUTE(E132,".",""),"-","")," ",""),"/",""))))),FALSE()))),"Revisar",IF(G132&lt;&gt;"Sim","Falta comprovante",IF(AND(B132="Educação",SUMIFS($F$6:$F$155,$B$6:$B$155,"Educação",$C$6:$C$155,C132)&gt;Parâmetros!$B$6),"Acima do limite","OK"))))</f>
        <v/>
      </c>
    </row>
    <row r="133" customFormat="false" ht="15" hidden="false" customHeight="false" outlineLevel="0" collapsed="false">
      <c r="A133" s="19"/>
      <c r="B133" s="18"/>
      <c r="C133" s="18"/>
      <c r="D133" s="18"/>
      <c r="E133" s="18"/>
      <c r="F133" s="22"/>
      <c r="G133" s="23"/>
      <c r="H133" s="18"/>
      <c r="I133" s="20" t="str">
        <f aca="false">IF(AND(B133="",F133=""),"",IF(OR(A133="",B133="",C133="",F133="",NOT(IFERROR(OR(IFERROR(AND(LEN(SUBSTITUTE(SUBSTITUTE(SUBSTITUTE(SUBSTITUTE(E133,".",""),"-","")," ",""),"/",""))=11,SUBSTITUTE(SUBSTITUTE(SUBSTITUTE(SUBSTITUTE(E133,".",""),"-","")," ",""),"/","")&lt;&gt;REPT(LEFT(SUBSTITUTE(SUBSTITUTE(SUBSTITUTE(SUBSTITUTE(E133,".",""),"-","")," ",""),"/",""),1),11),VALUE(MID(SUBSTITUTE(SUBSTITUTE(SUBSTITUTE(SUBSTITUTE(E133,".",""),"-","")," ",""),"/",""),10,1))=IF(MOD(SUMPRODUCT(--MID(SUBSTITUTE(SUBSTITUTE(SUBSTITUTE(SUBSTITUTE(E133,".",""),"-","")," ",""),"/",""),{1,2,3,4,5,6,7,8,9},1),{10,9,8,7,6,5,4,3,2}),11)&lt;2,0,11-MOD(SUMPRODUCT(--MID(SUBSTITUTE(SUBSTITUTE(SUBSTITUTE(SUBSTITUTE(E133,".",""),"-","")," ",""),"/",""),{1,2,3,4,5,6,7,8,9},1),{10,9,8,7,6,5,4,3,2}),11)),VALUE(MID(SUBSTITUTE(SUBSTITUTE(SUBSTITUTE(SUBSTITUTE(E133,".",""),"-","")," ",""),"/",""),11,1))=IF(MOD(SUMPRODUCT(--MID(SUBSTITUTE(SUBSTITUTE(SUBSTITUTE(SUBSTITUTE(E133,".",""),"-","")," ",""),"/",""),{1,2,3,4,5,6,7,8,9,10},1),{11,10,9,8,7,6,5,4,3,2}),11)&lt;2,0,11-MOD(SUMPRODUCT(--MID(SUBSTITUTE(SUBSTITUTE(SUBSTITUTE(SUBSTITUTE(E133,".",""),"-","")," ",""),"/",""),{1,2,3,4,5,6,7,8,9,10},1),{11,10,9,8,7,6,5,4,3,2}),11))),FALSE()),AND(LEN(SUBSTITUTE(SUBSTITUTE(SUBSTITUTE(SUBSTITUTE(E133,".",""),"-","")," ",""),"/",""))=14,ISNUMBER(VALUE(SUBSTITUTE(SUBSTITUTE(SUBSTITUTE(SUBSTITUTE(E133,".",""),"-","")," ",""),"/",""))))),FALSE()))),"Revisar",IF(G133&lt;&gt;"Sim","Falta comprovante",IF(AND(B133="Educação",SUMIFS($F$6:$F$155,$B$6:$B$155,"Educação",$C$6:$C$155,C133)&gt;Parâmetros!$B$6),"Acima do limite","OK"))))</f>
        <v/>
      </c>
    </row>
    <row r="134" customFormat="false" ht="15" hidden="false" customHeight="false" outlineLevel="0" collapsed="false">
      <c r="A134" s="19"/>
      <c r="B134" s="18"/>
      <c r="C134" s="18"/>
      <c r="D134" s="18"/>
      <c r="E134" s="18"/>
      <c r="F134" s="22"/>
      <c r="G134" s="23"/>
      <c r="H134" s="18"/>
      <c r="I134" s="20" t="str">
        <f aca="false">IF(AND(B134="",F134=""),"",IF(OR(A134="",B134="",C134="",F134="",NOT(IFERROR(OR(IFERROR(AND(LEN(SUBSTITUTE(SUBSTITUTE(SUBSTITUTE(SUBSTITUTE(E134,".",""),"-","")," ",""),"/",""))=11,SUBSTITUTE(SUBSTITUTE(SUBSTITUTE(SUBSTITUTE(E134,".",""),"-","")," ",""),"/","")&lt;&gt;REPT(LEFT(SUBSTITUTE(SUBSTITUTE(SUBSTITUTE(SUBSTITUTE(E134,".",""),"-","")," ",""),"/",""),1),11),VALUE(MID(SUBSTITUTE(SUBSTITUTE(SUBSTITUTE(SUBSTITUTE(E134,".",""),"-","")," ",""),"/",""),10,1))=IF(MOD(SUMPRODUCT(--MID(SUBSTITUTE(SUBSTITUTE(SUBSTITUTE(SUBSTITUTE(E134,".",""),"-","")," ",""),"/",""),{1,2,3,4,5,6,7,8,9},1),{10,9,8,7,6,5,4,3,2}),11)&lt;2,0,11-MOD(SUMPRODUCT(--MID(SUBSTITUTE(SUBSTITUTE(SUBSTITUTE(SUBSTITUTE(E134,".",""),"-","")," ",""),"/",""),{1,2,3,4,5,6,7,8,9},1),{10,9,8,7,6,5,4,3,2}),11)),VALUE(MID(SUBSTITUTE(SUBSTITUTE(SUBSTITUTE(SUBSTITUTE(E134,".",""),"-","")," ",""),"/",""),11,1))=IF(MOD(SUMPRODUCT(--MID(SUBSTITUTE(SUBSTITUTE(SUBSTITUTE(SUBSTITUTE(E134,".",""),"-","")," ",""),"/",""),{1,2,3,4,5,6,7,8,9,10},1),{11,10,9,8,7,6,5,4,3,2}),11)&lt;2,0,11-MOD(SUMPRODUCT(--MID(SUBSTITUTE(SUBSTITUTE(SUBSTITUTE(SUBSTITUTE(E134,".",""),"-","")," ",""),"/",""),{1,2,3,4,5,6,7,8,9,10},1),{11,10,9,8,7,6,5,4,3,2}),11))),FALSE()),AND(LEN(SUBSTITUTE(SUBSTITUTE(SUBSTITUTE(SUBSTITUTE(E134,".",""),"-","")," ",""),"/",""))=14,ISNUMBER(VALUE(SUBSTITUTE(SUBSTITUTE(SUBSTITUTE(SUBSTITUTE(E134,".",""),"-","")," ",""),"/",""))))),FALSE()))),"Revisar",IF(G134&lt;&gt;"Sim","Falta comprovante",IF(AND(B134="Educação",SUMIFS($F$6:$F$155,$B$6:$B$155,"Educação",$C$6:$C$155,C134)&gt;Parâmetros!$B$6),"Acima do limite","OK"))))</f>
        <v/>
      </c>
    </row>
    <row r="135" customFormat="false" ht="15" hidden="false" customHeight="false" outlineLevel="0" collapsed="false">
      <c r="A135" s="19"/>
      <c r="B135" s="18"/>
      <c r="C135" s="18"/>
      <c r="D135" s="18"/>
      <c r="E135" s="18"/>
      <c r="F135" s="22"/>
      <c r="G135" s="23"/>
      <c r="H135" s="18"/>
      <c r="I135" s="20" t="str">
        <f aca="false">IF(AND(B135="",F135=""),"",IF(OR(A135="",B135="",C135="",F135="",NOT(IFERROR(OR(IFERROR(AND(LEN(SUBSTITUTE(SUBSTITUTE(SUBSTITUTE(SUBSTITUTE(E135,".",""),"-","")," ",""),"/",""))=11,SUBSTITUTE(SUBSTITUTE(SUBSTITUTE(SUBSTITUTE(E135,".",""),"-","")," ",""),"/","")&lt;&gt;REPT(LEFT(SUBSTITUTE(SUBSTITUTE(SUBSTITUTE(SUBSTITUTE(E135,".",""),"-","")," ",""),"/",""),1),11),VALUE(MID(SUBSTITUTE(SUBSTITUTE(SUBSTITUTE(SUBSTITUTE(E135,".",""),"-","")," ",""),"/",""),10,1))=IF(MOD(SUMPRODUCT(--MID(SUBSTITUTE(SUBSTITUTE(SUBSTITUTE(SUBSTITUTE(E135,".",""),"-","")," ",""),"/",""),{1,2,3,4,5,6,7,8,9},1),{10,9,8,7,6,5,4,3,2}),11)&lt;2,0,11-MOD(SUMPRODUCT(--MID(SUBSTITUTE(SUBSTITUTE(SUBSTITUTE(SUBSTITUTE(E135,".",""),"-","")," ",""),"/",""),{1,2,3,4,5,6,7,8,9},1),{10,9,8,7,6,5,4,3,2}),11)),VALUE(MID(SUBSTITUTE(SUBSTITUTE(SUBSTITUTE(SUBSTITUTE(E135,".",""),"-","")," ",""),"/",""),11,1))=IF(MOD(SUMPRODUCT(--MID(SUBSTITUTE(SUBSTITUTE(SUBSTITUTE(SUBSTITUTE(E135,".",""),"-","")," ",""),"/",""),{1,2,3,4,5,6,7,8,9,10},1),{11,10,9,8,7,6,5,4,3,2}),11)&lt;2,0,11-MOD(SUMPRODUCT(--MID(SUBSTITUTE(SUBSTITUTE(SUBSTITUTE(SUBSTITUTE(E135,".",""),"-","")," ",""),"/",""),{1,2,3,4,5,6,7,8,9,10},1),{11,10,9,8,7,6,5,4,3,2}),11))),FALSE()),AND(LEN(SUBSTITUTE(SUBSTITUTE(SUBSTITUTE(SUBSTITUTE(E135,".",""),"-","")," ",""),"/",""))=14,ISNUMBER(VALUE(SUBSTITUTE(SUBSTITUTE(SUBSTITUTE(SUBSTITUTE(E135,".",""),"-","")," ",""),"/",""))))),FALSE()))),"Revisar",IF(G135&lt;&gt;"Sim","Falta comprovante",IF(AND(B135="Educação",SUMIFS($F$6:$F$155,$B$6:$B$155,"Educação",$C$6:$C$155,C135)&gt;Parâmetros!$B$6),"Acima do limite","OK"))))</f>
        <v/>
      </c>
    </row>
    <row r="136" customFormat="false" ht="15" hidden="false" customHeight="false" outlineLevel="0" collapsed="false">
      <c r="A136" s="19"/>
      <c r="B136" s="18"/>
      <c r="C136" s="18"/>
      <c r="D136" s="18"/>
      <c r="E136" s="18"/>
      <c r="F136" s="22"/>
      <c r="G136" s="23"/>
      <c r="H136" s="18"/>
      <c r="I136" s="20" t="str">
        <f aca="false">IF(AND(B136="",F136=""),"",IF(OR(A136="",B136="",C136="",F136="",NOT(IFERROR(OR(IFERROR(AND(LEN(SUBSTITUTE(SUBSTITUTE(SUBSTITUTE(SUBSTITUTE(E136,".",""),"-","")," ",""),"/",""))=11,SUBSTITUTE(SUBSTITUTE(SUBSTITUTE(SUBSTITUTE(E136,".",""),"-","")," ",""),"/","")&lt;&gt;REPT(LEFT(SUBSTITUTE(SUBSTITUTE(SUBSTITUTE(SUBSTITUTE(E136,".",""),"-","")," ",""),"/",""),1),11),VALUE(MID(SUBSTITUTE(SUBSTITUTE(SUBSTITUTE(SUBSTITUTE(E136,".",""),"-","")," ",""),"/",""),10,1))=IF(MOD(SUMPRODUCT(--MID(SUBSTITUTE(SUBSTITUTE(SUBSTITUTE(SUBSTITUTE(E136,".",""),"-","")," ",""),"/",""),{1,2,3,4,5,6,7,8,9},1),{10,9,8,7,6,5,4,3,2}),11)&lt;2,0,11-MOD(SUMPRODUCT(--MID(SUBSTITUTE(SUBSTITUTE(SUBSTITUTE(SUBSTITUTE(E136,".",""),"-","")," ",""),"/",""),{1,2,3,4,5,6,7,8,9},1),{10,9,8,7,6,5,4,3,2}),11)),VALUE(MID(SUBSTITUTE(SUBSTITUTE(SUBSTITUTE(SUBSTITUTE(E136,".",""),"-","")," ",""),"/",""),11,1))=IF(MOD(SUMPRODUCT(--MID(SUBSTITUTE(SUBSTITUTE(SUBSTITUTE(SUBSTITUTE(E136,".",""),"-","")," ",""),"/",""),{1,2,3,4,5,6,7,8,9,10},1),{11,10,9,8,7,6,5,4,3,2}),11)&lt;2,0,11-MOD(SUMPRODUCT(--MID(SUBSTITUTE(SUBSTITUTE(SUBSTITUTE(SUBSTITUTE(E136,".",""),"-","")," ",""),"/",""),{1,2,3,4,5,6,7,8,9,10},1),{11,10,9,8,7,6,5,4,3,2}),11))),FALSE()),AND(LEN(SUBSTITUTE(SUBSTITUTE(SUBSTITUTE(SUBSTITUTE(E136,".",""),"-","")," ",""),"/",""))=14,ISNUMBER(VALUE(SUBSTITUTE(SUBSTITUTE(SUBSTITUTE(SUBSTITUTE(E136,".",""),"-","")," ",""),"/",""))))),FALSE()))),"Revisar",IF(G136&lt;&gt;"Sim","Falta comprovante",IF(AND(B136="Educação",SUMIFS($F$6:$F$155,$B$6:$B$155,"Educação",$C$6:$C$155,C136)&gt;Parâmetros!$B$6),"Acima do limite","OK"))))</f>
        <v/>
      </c>
    </row>
    <row r="137" customFormat="false" ht="15" hidden="false" customHeight="false" outlineLevel="0" collapsed="false">
      <c r="A137" s="19"/>
      <c r="B137" s="18"/>
      <c r="C137" s="18"/>
      <c r="D137" s="18"/>
      <c r="E137" s="18"/>
      <c r="F137" s="22"/>
      <c r="G137" s="23"/>
      <c r="H137" s="18"/>
      <c r="I137" s="20" t="str">
        <f aca="false">IF(AND(B137="",F137=""),"",IF(OR(A137="",B137="",C137="",F137="",NOT(IFERROR(OR(IFERROR(AND(LEN(SUBSTITUTE(SUBSTITUTE(SUBSTITUTE(SUBSTITUTE(E137,".",""),"-","")," ",""),"/",""))=11,SUBSTITUTE(SUBSTITUTE(SUBSTITUTE(SUBSTITUTE(E137,".",""),"-","")," ",""),"/","")&lt;&gt;REPT(LEFT(SUBSTITUTE(SUBSTITUTE(SUBSTITUTE(SUBSTITUTE(E137,".",""),"-","")," ",""),"/",""),1),11),VALUE(MID(SUBSTITUTE(SUBSTITUTE(SUBSTITUTE(SUBSTITUTE(E137,".",""),"-","")," ",""),"/",""),10,1))=IF(MOD(SUMPRODUCT(--MID(SUBSTITUTE(SUBSTITUTE(SUBSTITUTE(SUBSTITUTE(E137,".",""),"-","")," ",""),"/",""),{1,2,3,4,5,6,7,8,9},1),{10,9,8,7,6,5,4,3,2}),11)&lt;2,0,11-MOD(SUMPRODUCT(--MID(SUBSTITUTE(SUBSTITUTE(SUBSTITUTE(SUBSTITUTE(E137,".",""),"-","")," ",""),"/",""),{1,2,3,4,5,6,7,8,9},1),{10,9,8,7,6,5,4,3,2}),11)),VALUE(MID(SUBSTITUTE(SUBSTITUTE(SUBSTITUTE(SUBSTITUTE(E137,".",""),"-","")," ",""),"/",""),11,1))=IF(MOD(SUMPRODUCT(--MID(SUBSTITUTE(SUBSTITUTE(SUBSTITUTE(SUBSTITUTE(E137,".",""),"-","")," ",""),"/",""),{1,2,3,4,5,6,7,8,9,10},1),{11,10,9,8,7,6,5,4,3,2}),11)&lt;2,0,11-MOD(SUMPRODUCT(--MID(SUBSTITUTE(SUBSTITUTE(SUBSTITUTE(SUBSTITUTE(E137,".",""),"-","")," ",""),"/",""),{1,2,3,4,5,6,7,8,9,10},1),{11,10,9,8,7,6,5,4,3,2}),11))),FALSE()),AND(LEN(SUBSTITUTE(SUBSTITUTE(SUBSTITUTE(SUBSTITUTE(E137,".",""),"-","")," ",""),"/",""))=14,ISNUMBER(VALUE(SUBSTITUTE(SUBSTITUTE(SUBSTITUTE(SUBSTITUTE(E137,".",""),"-","")," ",""),"/",""))))),FALSE()))),"Revisar",IF(G137&lt;&gt;"Sim","Falta comprovante",IF(AND(B137="Educação",SUMIFS($F$6:$F$155,$B$6:$B$155,"Educação",$C$6:$C$155,C137)&gt;Parâmetros!$B$6),"Acima do limite","OK"))))</f>
        <v/>
      </c>
    </row>
    <row r="138" customFormat="false" ht="15" hidden="false" customHeight="false" outlineLevel="0" collapsed="false">
      <c r="A138" s="19"/>
      <c r="B138" s="18"/>
      <c r="C138" s="18"/>
      <c r="D138" s="18"/>
      <c r="E138" s="18"/>
      <c r="F138" s="22"/>
      <c r="G138" s="23"/>
      <c r="H138" s="18"/>
      <c r="I138" s="20" t="str">
        <f aca="false">IF(AND(B138="",F138=""),"",IF(OR(A138="",B138="",C138="",F138="",NOT(IFERROR(OR(IFERROR(AND(LEN(SUBSTITUTE(SUBSTITUTE(SUBSTITUTE(SUBSTITUTE(E138,".",""),"-","")," ",""),"/",""))=11,SUBSTITUTE(SUBSTITUTE(SUBSTITUTE(SUBSTITUTE(E138,".",""),"-","")," ",""),"/","")&lt;&gt;REPT(LEFT(SUBSTITUTE(SUBSTITUTE(SUBSTITUTE(SUBSTITUTE(E138,".",""),"-","")," ",""),"/",""),1),11),VALUE(MID(SUBSTITUTE(SUBSTITUTE(SUBSTITUTE(SUBSTITUTE(E138,".",""),"-","")," ",""),"/",""),10,1))=IF(MOD(SUMPRODUCT(--MID(SUBSTITUTE(SUBSTITUTE(SUBSTITUTE(SUBSTITUTE(E138,".",""),"-","")," ",""),"/",""),{1,2,3,4,5,6,7,8,9},1),{10,9,8,7,6,5,4,3,2}),11)&lt;2,0,11-MOD(SUMPRODUCT(--MID(SUBSTITUTE(SUBSTITUTE(SUBSTITUTE(SUBSTITUTE(E138,".",""),"-","")," ",""),"/",""),{1,2,3,4,5,6,7,8,9},1),{10,9,8,7,6,5,4,3,2}),11)),VALUE(MID(SUBSTITUTE(SUBSTITUTE(SUBSTITUTE(SUBSTITUTE(E138,".",""),"-","")," ",""),"/",""),11,1))=IF(MOD(SUMPRODUCT(--MID(SUBSTITUTE(SUBSTITUTE(SUBSTITUTE(SUBSTITUTE(E138,".",""),"-","")," ",""),"/",""),{1,2,3,4,5,6,7,8,9,10},1),{11,10,9,8,7,6,5,4,3,2}),11)&lt;2,0,11-MOD(SUMPRODUCT(--MID(SUBSTITUTE(SUBSTITUTE(SUBSTITUTE(SUBSTITUTE(E138,".",""),"-","")," ",""),"/",""),{1,2,3,4,5,6,7,8,9,10},1),{11,10,9,8,7,6,5,4,3,2}),11))),FALSE()),AND(LEN(SUBSTITUTE(SUBSTITUTE(SUBSTITUTE(SUBSTITUTE(E138,".",""),"-","")," ",""),"/",""))=14,ISNUMBER(VALUE(SUBSTITUTE(SUBSTITUTE(SUBSTITUTE(SUBSTITUTE(E138,".",""),"-","")," ",""),"/",""))))),FALSE()))),"Revisar",IF(G138&lt;&gt;"Sim","Falta comprovante",IF(AND(B138="Educação",SUMIFS($F$6:$F$155,$B$6:$B$155,"Educação",$C$6:$C$155,C138)&gt;Parâmetros!$B$6),"Acima do limite","OK"))))</f>
        <v/>
      </c>
    </row>
    <row r="139" customFormat="false" ht="15" hidden="false" customHeight="false" outlineLevel="0" collapsed="false">
      <c r="A139" s="19"/>
      <c r="B139" s="18"/>
      <c r="C139" s="18"/>
      <c r="D139" s="18"/>
      <c r="E139" s="18"/>
      <c r="F139" s="22"/>
      <c r="G139" s="23"/>
      <c r="H139" s="18"/>
      <c r="I139" s="20" t="str">
        <f aca="false">IF(AND(B139="",F139=""),"",IF(OR(A139="",B139="",C139="",F139="",NOT(IFERROR(OR(IFERROR(AND(LEN(SUBSTITUTE(SUBSTITUTE(SUBSTITUTE(SUBSTITUTE(E139,".",""),"-","")," ",""),"/",""))=11,SUBSTITUTE(SUBSTITUTE(SUBSTITUTE(SUBSTITUTE(E139,".",""),"-","")," ",""),"/","")&lt;&gt;REPT(LEFT(SUBSTITUTE(SUBSTITUTE(SUBSTITUTE(SUBSTITUTE(E139,".",""),"-","")," ",""),"/",""),1),11),VALUE(MID(SUBSTITUTE(SUBSTITUTE(SUBSTITUTE(SUBSTITUTE(E139,".",""),"-","")," ",""),"/",""),10,1))=IF(MOD(SUMPRODUCT(--MID(SUBSTITUTE(SUBSTITUTE(SUBSTITUTE(SUBSTITUTE(E139,".",""),"-","")," ",""),"/",""),{1,2,3,4,5,6,7,8,9},1),{10,9,8,7,6,5,4,3,2}),11)&lt;2,0,11-MOD(SUMPRODUCT(--MID(SUBSTITUTE(SUBSTITUTE(SUBSTITUTE(SUBSTITUTE(E139,".",""),"-","")," ",""),"/",""),{1,2,3,4,5,6,7,8,9},1),{10,9,8,7,6,5,4,3,2}),11)),VALUE(MID(SUBSTITUTE(SUBSTITUTE(SUBSTITUTE(SUBSTITUTE(E139,".",""),"-","")," ",""),"/",""),11,1))=IF(MOD(SUMPRODUCT(--MID(SUBSTITUTE(SUBSTITUTE(SUBSTITUTE(SUBSTITUTE(E139,".",""),"-","")," ",""),"/",""),{1,2,3,4,5,6,7,8,9,10},1),{11,10,9,8,7,6,5,4,3,2}),11)&lt;2,0,11-MOD(SUMPRODUCT(--MID(SUBSTITUTE(SUBSTITUTE(SUBSTITUTE(SUBSTITUTE(E139,".",""),"-","")," ",""),"/",""),{1,2,3,4,5,6,7,8,9,10},1),{11,10,9,8,7,6,5,4,3,2}),11))),FALSE()),AND(LEN(SUBSTITUTE(SUBSTITUTE(SUBSTITUTE(SUBSTITUTE(E139,".",""),"-","")," ",""),"/",""))=14,ISNUMBER(VALUE(SUBSTITUTE(SUBSTITUTE(SUBSTITUTE(SUBSTITUTE(E139,".",""),"-","")," ",""),"/",""))))),FALSE()))),"Revisar",IF(G139&lt;&gt;"Sim","Falta comprovante",IF(AND(B139="Educação",SUMIFS($F$6:$F$155,$B$6:$B$155,"Educação",$C$6:$C$155,C139)&gt;Parâmetros!$B$6),"Acima do limite","OK"))))</f>
        <v/>
      </c>
    </row>
    <row r="140" customFormat="false" ht="15" hidden="false" customHeight="false" outlineLevel="0" collapsed="false">
      <c r="A140" s="19"/>
      <c r="B140" s="18"/>
      <c r="C140" s="18"/>
      <c r="D140" s="18"/>
      <c r="E140" s="18"/>
      <c r="F140" s="22"/>
      <c r="G140" s="23"/>
      <c r="H140" s="18"/>
      <c r="I140" s="20" t="str">
        <f aca="false">IF(AND(B140="",F140=""),"",IF(OR(A140="",B140="",C140="",F140="",NOT(IFERROR(OR(IFERROR(AND(LEN(SUBSTITUTE(SUBSTITUTE(SUBSTITUTE(SUBSTITUTE(E140,".",""),"-","")," ",""),"/",""))=11,SUBSTITUTE(SUBSTITUTE(SUBSTITUTE(SUBSTITUTE(E140,".",""),"-","")," ",""),"/","")&lt;&gt;REPT(LEFT(SUBSTITUTE(SUBSTITUTE(SUBSTITUTE(SUBSTITUTE(E140,".",""),"-","")," ",""),"/",""),1),11),VALUE(MID(SUBSTITUTE(SUBSTITUTE(SUBSTITUTE(SUBSTITUTE(E140,".",""),"-","")," ",""),"/",""),10,1))=IF(MOD(SUMPRODUCT(--MID(SUBSTITUTE(SUBSTITUTE(SUBSTITUTE(SUBSTITUTE(E140,".",""),"-","")," ",""),"/",""),{1,2,3,4,5,6,7,8,9},1),{10,9,8,7,6,5,4,3,2}),11)&lt;2,0,11-MOD(SUMPRODUCT(--MID(SUBSTITUTE(SUBSTITUTE(SUBSTITUTE(SUBSTITUTE(E140,".",""),"-","")," ",""),"/",""),{1,2,3,4,5,6,7,8,9},1),{10,9,8,7,6,5,4,3,2}),11)),VALUE(MID(SUBSTITUTE(SUBSTITUTE(SUBSTITUTE(SUBSTITUTE(E140,".",""),"-","")," ",""),"/",""),11,1))=IF(MOD(SUMPRODUCT(--MID(SUBSTITUTE(SUBSTITUTE(SUBSTITUTE(SUBSTITUTE(E140,".",""),"-","")," ",""),"/",""),{1,2,3,4,5,6,7,8,9,10},1),{11,10,9,8,7,6,5,4,3,2}),11)&lt;2,0,11-MOD(SUMPRODUCT(--MID(SUBSTITUTE(SUBSTITUTE(SUBSTITUTE(SUBSTITUTE(E140,".",""),"-","")," ",""),"/",""),{1,2,3,4,5,6,7,8,9,10},1),{11,10,9,8,7,6,5,4,3,2}),11))),FALSE()),AND(LEN(SUBSTITUTE(SUBSTITUTE(SUBSTITUTE(SUBSTITUTE(E140,".",""),"-","")," ",""),"/",""))=14,ISNUMBER(VALUE(SUBSTITUTE(SUBSTITUTE(SUBSTITUTE(SUBSTITUTE(E140,".",""),"-","")," ",""),"/",""))))),FALSE()))),"Revisar",IF(G140&lt;&gt;"Sim","Falta comprovante",IF(AND(B140="Educação",SUMIFS($F$6:$F$155,$B$6:$B$155,"Educação",$C$6:$C$155,C140)&gt;Parâmetros!$B$6),"Acima do limite","OK"))))</f>
        <v/>
      </c>
    </row>
    <row r="141" customFormat="false" ht="15" hidden="false" customHeight="false" outlineLevel="0" collapsed="false">
      <c r="A141" s="19"/>
      <c r="B141" s="18"/>
      <c r="C141" s="18"/>
      <c r="D141" s="18"/>
      <c r="E141" s="18"/>
      <c r="F141" s="22"/>
      <c r="G141" s="23"/>
      <c r="H141" s="18"/>
      <c r="I141" s="20" t="str">
        <f aca="false">IF(AND(B141="",F141=""),"",IF(OR(A141="",B141="",C141="",F141="",NOT(IFERROR(OR(IFERROR(AND(LEN(SUBSTITUTE(SUBSTITUTE(SUBSTITUTE(SUBSTITUTE(E141,".",""),"-","")," ",""),"/",""))=11,SUBSTITUTE(SUBSTITUTE(SUBSTITUTE(SUBSTITUTE(E141,".",""),"-","")," ",""),"/","")&lt;&gt;REPT(LEFT(SUBSTITUTE(SUBSTITUTE(SUBSTITUTE(SUBSTITUTE(E141,".",""),"-","")," ",""),"/",""),1),11),VALUE(MID(SUBSTITUTE(SUBSTITUTE(SUBSTITUTE(SUBSTITUTE(E141,".",""),"-","")," ",""),"/",""),10,1))=IF(MOD(SUMPRODUCT(--MID(SUBSTITUTE(SUBSTITUTE(SUBSTITUTE(SUBSTITUTE(E141,".",""),"-","")," ",""),"/",""),{1,2,3,4,5,6,7,8,9},1),{10,9,8,7,6,5,4,3,2}),11)&lt;2,0,11-MOD(SUMPRODUCT(--MID(SUBSTITUTE(SUBSTITUTE(SUBSTITUTE(SUBSTITUTE(E141,".",""),"-","")," ",""),"/",""),{1,2,3,4,5,6,7,8,9},1),{10,9,8,7,6,5,4,3,2}),11)),VALUE(MID(SUBSTITUTE(SUBSTITUTE(SUBSTITUTE(SUBSTITUTE(E141,".",""),"-","")," ",""),"/",""),11,1))=IF(MOD(SUMPRODUCT(--MID(SUBSTITUTE(SUBSTITUTE(SUBSTITUTE(SUBSTITUTE(E141,".",""),"-","")," ",""),"/",""),{1,2,3,4,5,6,7,8,9,10},1),{11,10,9,8,7,6,5,4,3,2}),11)&lt;2,0,11-MOD(SUMPRODUCT(--MID(SUBSTITUTE(SUBSTITUTE(SUBSTITUTE(SUBSTITUTE(E141,".",""),"-","")," ",""),"/",""),{1,2,3,4,5,6,7,8,9,10},1),{11,10,9,8,7,6,5,4,3,2}),11))),FALSE()),AND(LEN(SUBSTITUTE(SUBSTITUTE(SUBSTITUTE(SUBSTITUTE(E141,".",""),"-","")," ",""),"/",""))=14,ISNUMBER(VALUE(SUBSTITUTE(SUBSTITUTE(SUBSTITUTE(SUBSTITUTE(E141,".",""),"-","")," ",""),"/",""))))),FALSE()))),"Revisar",IF(G141&lt;&gt;"Sim","Falta comprovante",IF(AND(B141="Educação",SUMIFS($F$6:$F$155,$B$6:$B$155,"Educação",$C$6:$C$155,C141)&gt;Parâmetros!$B$6),"Acima do limite","OK"))))</f>
        <v/>
      </c>
    </row>
    <row r="142" customFormat="false" ht="15" hidden="false" customHeight="false" outlineLevel="0" collapsed="false">
      <c r="A142" s="19"/>
      <c r="B142" s="18"/>
      <c r="C142" s="18"/>
      <c r="D142" s="18"/>
      <c r="E142" s="18"/>
      <c r="F142" s="22"/>
      <c r="G142" s="23"/>
      <c r="H142" s="18"/>
      <c r="I142" s="20" t="str">
        <f aca="false">IF(AND(B142="",F142=""),"",IF(OR(A142="",B142="",C142="",F142="",NOT(IFERROR(OR(IFERROR(AND(LEN(SUBSTITUTE(SUBSTITUTE(SUBSTITUTE(SUBSTITUTE(E142,".",""),"-","")," ",""),"/",""))=11,SUBSTITUTE(SUBSTITUTE(SUBSTITUTE(SUBSTITUTE(E142,".",""),"-","")," ",""),"/","")&lt;&gt;REPT(LEFT(SUBSTITUTE(SUBSTITUTE(SUBSTITUTE(SUBSTITUTE(E142,".",""),"-","")," ",""),"/",""),1),11),VALUE(MID(SUBSTITUTE(SUBSTITUTE(SUBSTITUTE(SUBSTITUTE(E142,".",""),"-","")," ",""),"/",""),10,1))=IF(MOD(SUMPRODUCT(--MID(SUBSTITUTE(SUBSTITUTE(SUBSTITUTE(SUBSTITUTE(E142,".",""),"-","")," ",""),"/",""),{1,2,3,4,5,6,7,8,9},1),{10,9,8,7,6,5,4,3,2}),11)&lt;2,0,11-MOD(SUMPRODUCT(--MID(SUBSTITUTE(SUBSTITUTE(SUBSTITUTE(SUBSTITUTE(E142,".",""),"-","")," ",""),"/",""),{1,2,3,4,5,6,7,8,9},1),{10,9,8,7,6,5,4,3,2}),11)),VALUE(MID(SUBSTITUTE(SUBSTITUTE(SUBSTITUTE(SUBSTITUTE(E142,".",""),"-","")," ",""),"/",""),11,1))=IF(MOD(SUMPRODUCT(--MID(SUBSTITUTE(SUBSTITUTE(SUBSTITUTE(SUBSTITUTE(E142,".",""),"-","")," ",""),"/",""),{1,2,3,4,5,6,7,8,9,10},1),{11,10,9,8,7,6,5,4,3,2}),11)&lt;2,0,11-MOD(SUMPRODUCT(--MID(SUBSTITUTE(SUBSTITUTE(SUBSTITUTE(SUBSTITUTE(E142,".",""),"-","")," ",""),"/",""),{1,2,3,4,5,6,7,8,9,10},1),{11,10,9,8,7,6,5,4,3,2}),11))),FALSE()),AND(LEN(SUBSTITUTE(SUBSTITUTE(SUBSTITUTE(SUBSTITUTE(E142,".",""),"-","")," ",""),"/",""))=14,ISNUMBER(VALUE(SUBSTITUTE(SUBSTITUTE(SUBSTITUTE(SUBSTITUTE(E142,".",""),"-","")," ",""),"/",""))))),FALSE()))),"Revisar",IF(G142&lt;&gt;"Sim","Falta comprovante",IF(AND(B142="Educação",SUMIFS($F$6:$F$155,$B$6:$B$155,"Educação",$C$6:$C$155,C142)&gt;Parâmetros!$B$6),"Acima do limite","OK"))))</f>
        <v/>
      </c>
    </row>
    <row r="143" customFormat="false" ht="15" hidden="false" customHeight="false" outlineLevel="0" collapsed="false">
      <c r="A143" s="19"/>
      <c r="B143" s="18"/>
      <c r="C143" s="18"/>
      <c r="D143" s="18"/>
      <c r="E143" s="18"/>
      <c r="F143" s="22"/>
      <c r="G143" s="23"/>
      <c r="H143" s="18"/>
      <c r="I143" s="20" t="str">
        <f aca="false">IF(AND(B143="",F143=""),"",IF(OR(A143="",B143="",C143="",F143="",NOT(IFERROR(OR(IFERROR(AND(LEN(SUBSTITUTE(SUBSTITUTE(SUBSTITUTE(SUBSTITUTE(E143,".",""),"-","")," ",""),"/",""))=11,SUBSTITUTE(SUBSTITUTE(SUBSTITUTE(SUBSTITUTE(E143,".",""),"-","")," ",""),"/","")&lt;&gt;REPT(LEFT(SUBSTITUTE(SUBSTITUTE(SUBSTITUTE(SUBSTITUTE(E143,".",""),"-","")," ",""),"/",""),1),11),VALUE(MID(SUBSTITUTE(SUBSTITUTE(SUBSTITUTE(SUBSTITUTE(E143,".",""),"-","")," ",""),"/",""),10,1))=IF(MOD(SUMPRODUCT(--MID(SUBSTITUTE(SUBSTITUTE(SUBSTITUTE(SUBSTITUTE(E143,".",""),"-","")," ",""),"/",""),{1,2,3,4,5,6,7,8,9},1),{10,9,8,7,6,5,4,3,2}),11)&lt;2,0,11-MOD(SUMPRODUCT(--MID(SUBSTITUTE(SUBSTITUTE(SUBSTITUTE(SUBSTITUTE(E143,".",""),"-","")," ",""),"/",""),{1,2,3,4,5,6,7,8,9},1),{10,9,8,7,6,5,4,3,2}),11)),VALUE(MID(SUBSTITUTE(SUBSTITUTE(SUBSTITUTE(SUBSTITUTE(E143,".",""),"-","")," ",""),"/",""),11,1))=IF(MOD(SUMPRODUCT(--MID(SUBSTITUTE(SUBSTITUTE(SUBSTITUTE(SUBSTITUTE(E143,".",""),"-","")," ",""),"/",""),{1,2,3,4,5,6,7,8,9,10},1),{11,10,9,8,7,6,5,4,3,2}),11)&lt;2,0,11-MOD(SUMPRODUCT(--MID(SUBSTITUTE(SUBSTITUTE(SUBSTITUTE(SUBSTITUTE(E143,".",""),"-","")," ",""),"/",""),{1,2,3,4,5,6,7,8,9,10},1),{11,10,9,8,7,6,5,4,3,2}),11))),FALSE()),AND(LEN(SUBSTITUTE(SUBSTITUTE(SUBSTITUTE(SUBSTITUTE(E143,".",""),"-","")," ",""),"/",""))=14,ISNUMBER(VALUE(SUBSTITUTE(SUBSTITUTE(SUBSTITUTE(SUBSTITUTE(E143,".",""),"-","")," ",""),"/",""))))),FALSE()))),"Revisar",IF(G143&lt;&gt;"Sim","Falta comprovante",IF(AND(B143="Educação",SUMIFS($F$6:$F$155,$B$6:$B$155,"Educação",$C$6:$C$155,C143)&gt;Parâmetros!$B$6),"Acima do limite","OK"))))</f>
        <v/>
      </c>
    </row>
    <row r="144" customFormat="false" ht="15" hidden="false" customHeight="false" outlineLevel="0" collapsed="false">
      <c r="A144" s="19"/>
      <c r="B144" s="18"/>
      <c r="C144" s="18"/>
      <c r="D144" s="18"/>
      <c r="E144" s="18"/>
      <c r="F144" s="22"/>
      <c r="G144" s="23"/>
      <c r="H144" s="18"/>
      <c r="I144" s="20" t="str">
        <f aca="false">IF(AND(B144="",F144=""),"",IF(OR(A144="",B144="",C144="",F144="",NOT(IFERROR(OR(IFERROR(AND(LEN(SUBSTITUTE(SUBSTITUTE(SUBSTITUTE(SUBSTITUTE(E144,".",""),"-","")," ",""),"/",""))=11,SUBSTITUTE(SUBSTITUTE(SUBSTITUTE(SUBSTITUTE(E144,".",""),"-","")," ",""),"/","")&lt;&gt;REPT(LEFT(SUBSTITUTE(SUBSTITUTE(SUBSTITUTE(SUBSTITUTE(E144,".",""),"-","")," ",""),"/",""),1),11),VALUE(MID(SUBSTITUTE(SUBSTITUTE(SUBSTITUTE(SUBSTITUTE(E144,".",""),"-","")," ",""),"/",""),10,1))=IF(MOD(SUMPRODUCT(--MID(SUBSTITUTE(SUBSTITUTE(SUBSTITUTE(SUBSTITUTE(E144,".",""),"-","")," ",""),"/",""),{1,2,3,4,5,6,7,8,9},1),{10,9,8,7,6,5,4,3,2}),11)&lt;2,0,11-MOD(SUMPRODUCT(--MID(SUBSTITUTE(SUBSTITUTE(SUBSTITUTE(SUBSTITUTE(E144,".",""),"-","")," ",""),"/",""),{1,2,3,4,5,6,7,8,9},1),{10,9,8,7,6,5,4,3,2}),11)),VALUE(MID(SUBSTITUTE(SUBSTITUTE(SUBSTITUTE(SUBSTITUTE(E144,".",""),"-","")," ",""),"/",""),11,1))=IF(MOD(SUMPRODUCT(--MID(SUBSTITUTE(SUBSTITUTE(SUBSTITUTE(SUBSTITUTE(E144,".",""),"-","")," ",""),"/",""),{1,2,3,4,5,6,7,8,9,10},1),{11,10,9,8,7,6,5,4,3,2}),11)&lt;2,0,11-MOD(SUMPRODUCT(--MID(SUBSTITUTE(SUBSTITUTE(SUBSTITUTE(SUBSTITUTE(E144,".",""),"-","")," ",""),"/",""),{1,2,3,4,5,6,7,8,9,10},1),{11,10,9,8,7,6,5,4,3,2}),11))),FALSE()),AND(LEN(SUBSTITUTE(SUBSTITUTE(SUBSTITUTE(SUBSTITUTE(E144,".",""),"-","")," ",""),"/",""))=14,ISNUMBER(VALUE(SUBSTITUTE(SUBSTITUTE(SUBSTITUTE(SUBSTITUTE(E144,".",""),"-","")," ",""),"/",""))))),FALSE()))),"Revisar",IF(G144&lt;&gt;"Sim","Falta comprovante",IF(AND(B144="Educação",SUMIFS($F$6:$F$155,$B$6:$B$155,"Educação",$C$6:$C$155,C144)&gt;Parâmetros!$B$6),"Acima do limite","OK"))))</f>
        <v/>
      </c>
    </row>
    <row r="145" customFormat="false" ht="15" hidden="false" customHeight="false" outlineLevel="0" collapsed="false">
      <c r="A145" s="19"/>
      <c r="B145" s="18"/>
      <c r="C145" s="18"/>
      <c r="D145" s="18"/>
      <c r="E145" s="18"/>
      <c r="F145" s="22"/>
      <c r="G145" s="23"/>
      <c r="H145" s="18"/>
      <c r="I145" s="20" t="str">
        <f aca="false">IF(AND(B145="",F145=""),"",IF(OR(A145="",B145="",C145="",F145="",NOT(IFERROR(OR(IFERROR(AND(LEN(SUBSTITUTE(SUBSTITUTE(SUBSTITUTE(SUBSTITUTE(E145,".",""),"-","")," ",""),"/",""))=11,SUBSTITUTE(SUBSTITUTE(SUBSTITUTE(SUBSTITUTE(E145,".",""),"-","")," ",""),"/","")&lt;&gt;REPT(LEFT(SUBSTITUTE(SUBSTITUTE(SUBSTITUTE(SUBSTITUTE(E145,".",""),"-","")," ",""),"/",""),1),11),VALUE(MID(SUBSTITUTE(SUBSTITUTE(SUBSTITUTE(SUBSTITUTE(E145,".",""),"-","")," ",""),"/",""),10,1))=IF(MOD(SUMPRODUCT(--MID(SUBSTITUTE(SUBSTITUTE(SUBSTITUTE(SUBSTITUTE(E145,".",""),"-","")," ",""),"/",""),{1,2,3,4,5,6,7,8,9},1),{10,9,8,7,6,5,4,3,2}),11)&lt;2,0,11-MOD(SUMPRODUCT(--MID(SUBSTITUTE(SUBSTITUTE(SUBSTITUTE(SUBSTITUTE(E145,".",""),"-","")," ",""),"/",""),{1,2,3,4,5,6,7,8,9},1),{10,9,8,7,6,5,4,3,2}),11)),VALUE(MID(SUBSTITUTE(SUBSTITUTE(SUBSTITUTE(SUBSTITUTE(E145,".",""),"-","")," ",""),"/",""),11,1))=IF(MOD(SUMPRODUCT(--MID(SUBSTITUTE(SUBSTITUTE(SUBSTITUTE(SUBSTITUTE(E145,".",""),"-","")," ",""),"/",""),{1,2,3,4,5,6,7,8,9,10},1),{11,10,9,8,7,6,5,4,3,2}),11)&lt;2,0,11-MOD(SUMPRODUCT(--MID(SUBSTITUTE(SUBSTITUTE(SUBSTITUTE(SUBSTITUTE(E145,".",""),"-","")," ",""),"/",""),{1,2,3,4,5,6,7,8,9,10},1),{11,10,9,8,7,6,5,4,3,2}),11))),FALSE()),AND(LEN(SUBSTITUTE(SUBSTITUTE(SUBSTITUTE(SUBSTITUTE(E145,".",""),"-","")," ",""),"/",""))=14,ISNUMBER(VALUE(SUBSTITUTE(SUBSTITUTE(SUBSTITUTE(SUBSTITUTE(E145,".",""),"-","")," ",""),"/",""))))),FALSE()))),"Revisar",IF(G145&lt;&gt;"Sim","Falta comprovante",IF(AND(B145="Educação",SUMIFS($F$6:$F$155,$B$6:$B$155,"Educação",$C$6:$C$155,C145)&gt;Parâmetros!$B$6),"Acima do limite","OK"))))</f>
        <v/>
      </c>
    </row>
    <row r="146" customFormat="false" ht="15" hidden="false" customHeight="false" outlineLevel="0" collapsed="false">
      <c r="A146" s="19"/>
      <c r="B146" s="18"/>
      <c r="C146" s="18"/>
      <c r="D146" s="18"/>
      <c r="E146" s="18"/>
      <c r="F146" s="22"/>
      <c r="G146" s="23"/>
      <c r="H146" s="18"/>
      <c r="I146" s="20" t="str">
        <f aca="false">IF(AND(B146="",F146=""),"",IF(OR(A146="",B146="",C146="",F146="",NOT(IFERROR(OR(IFERROR(AND(LEN(SUBSTITUTE(SUBSTITUTE(SUBSTITUTE(SUBSTITUTE(E146,".",""),"-","")," ",""),"/",""))=11,SUBSTITUTE(SUBSTITUTE(SUBSTITUTE(SUBSTITUTE(E146,".",""),"-","")," ",""),"/","")&lt;&gt;REPT(LEFT(SUBSTITUTE(SUBSTITUTE(SUBSTITUTE(SUBSTITUTE(E146,".",""),"-","")," ",""),"/",""),1),11),VALUE(MID(SUBSTITUTE(SUBSTITUTE(SUBSTITUTE(SUBSTITUTE(E146,".",""),"-","")," ",""),"/",""),10,1))=IF(MOD(SUMPRODUCT(--MID(SUBSTITUTE(SUBSTITUTE(SUBSTITUTE(SUBSTITUTE(E146,".",""),"-","")," ",""),"/",""),{1,2,3,4,5,6,7,8,9},1),{10,9,8,7,6,5,4,3,2}),11)&lt;2,0,11-MOD(SUMPRODUCT(--MID(SUBSTITUTE(SUBSTITUTE(SUBSTITUTE(SUBSTITUTE(E146,".",""),"-","")," ",""),"/",""),{1,2,3,4,5,6,7,8,9},1),{10,9,8,7,6,5,4,3,2}),11)),VALUE(MID(SUBSTITUTE(SUBSTITUTE(SUBSTITUTE(SUBSTITUTE(E146,".",""),"-","")," ",""),"/",""),11,1))=IF(MOD(SUMPRODUCT(--MID(SUBSTITUTE(SUBSTITUTE(SUBSTITUTE(SUBSTITUTE(E146,".",""),"-","")," ",""),"/",""),{1,2,3,4,5,6,7,8,9,10},1),{11,10,9,8,7,6,5,4,3,2}),11)&lt;2,0,11-MOD(SUMPRODUCT(--MID(SUBSTITUTE(SUBSTITUTE(SUBSTITUTE(SUBSTITUTE(E146,".",""),"-","")," ",""),"/",""),{1,2,3,4,5,6,7,8,9,10},1),{11,10,9,8,7,6,5,4,3,2}),11))),FALSE()),AND(LEN(SUBSTITUTE(SUBSTITUTE(SUBSTITUTE(SUBSTITUTE(E146,".",""),"-","")," ",""),"/",""))=14,ISNUMBER(VALUE(SUBSTITUTE(SUBSTITUTE(SUBSTITUTE(SUBSTITUTE(E146,".",""),"-","")," ",""),"/",""))))),FALSE()))),"Revisar",IF(G146&lt;&gt;"Sim","Falta comprovante",IF(AND(B146="Educação",SUMIFS($F$6:$F$155,$B$6:$B$155,"Educação",$C$6:$C$155,C146)&gt;Parâmetros!$B$6),"Acima do limite","OK"))))</f>
        <v/>
      </c>
    </row>
    <row r="147" customFormat="false" ht="15" hidden="false" customHeight="false" outlineLevel="0" collapsed="false">
      <c r="A147" s="19"/>
      <c r="B147" s="18"/>
      <c r="C147" s="18"/>
      <c r="D147" s="18"/>
      <c r="E147" s="18"/>
      <c r="F147" s="22"/>
      <c r="G147" s="23"/>
      <c r="H147" s="18"/>
      <c r="I147" s="20" t="str">
        <f aca="false">IF(AND(B147="",F147=""),"",IF(OR(A147="",B147="",C147="",F147="",NOT(IFERROR(OR(IFERROR(AND(LEN(SUBSTITUTE(SUBSTITUTE(SUBSTITUTE(SUBSTITUTE(E147,".",""),"-","")," ",""),"/",""))=11,SUBSTITUTE(SUBSTITUTE(SUBSTITUTE(SUBSTITUTE(E147,".",""),"-","")," ",""),"/","")&lt;&gt;REPT(LEFT(SUBSTITUTE(SUBSTITUTE(SUBSTITUTE(SUBSTITUTE(E147,".",""),"-","")," ",""),"/",""),1),11),VALUE(MID(SUBSTITUTE(SUBSTITUTE(SUBSTITUTE(SUBSTITUTE(E147,".",""),"-","")," ",""),"/",""),10,1))=IF(MOD(SUMPRODUCT(--MID(SUBSTITUTE(SUBSTITUTE(SUBSTITUTE(SUBSTITUTE(E147,".",""),"-","")," ",""),"/",""),{1,2,3,4,5,6,7,8,9},1),{10,9,8,7,6,5,4,3,2}),11)&lt;2,0,11-MOD(SUMPRODUCT(--MID(SUBSTITUTE(SUBSTITUTE(SUBSTITUTE(SUBSTITUTE(E147,".",""),"-","")," ",""),"/",""),{1,2,3,4,5,6,7,8,9},1),{10,9,8,7,6,5,4,3,2}),11)),VALUE(MID(SUBSTITUTE(SUBSTITUTE(SUBSTITUTE(SUBSTITUTE(E147,".",""),"-","")," ",""),"/",""),11,1))=IF(MOD(SUMPRODUCT(--MID(SUBSTITUTE(SUBSTITUTE(SUBSTITUTE(SUBSTITUTE(E147,".",""),"-","")," ",""),"/",""),{1,2,3,4,5,6,7,8,9,10},1),{11,10,9,8,7,6,5,4,3,2}),11)&lt;2,0,11-MOD(SUMPRODUCT(--MID(SUBSTITUTE(SUBSTITUTE(SUBSTITUTE(SUBSTITUTE(E147,".",""),"-","")," ",""),"/",""),{1,2,3,4,5,6,7,8,9,10},1),{11,10,9,8,7,6,5,4,3,2}),11))),FALSE()),AND(LEN(SUBSTITUTE(SUBSTITUTE(SUBSTITUTE(SUBSTITUTE(E147,".",""),"-","")," ",""),"/",""))=14,ISNUMBER(VALUE(SUBSTITUTE(SUBSTITUTE(SUBSTITUTE(SUBSTITUTE(E147,".",""),"-","")," ",""),"/",""))))),FALSE()))),"Revisar",IF(G147&lt;&gt;"Sim","Falta comprovante",IF(AND(B147="Educação",SUMIFS($F$6:$F$155,$B$6:$B$155,"Educação",$C$6:$C$155,C147)&gt;Parâmetros!$B$6),"Acima do limite","OK"))))</f>
        <v/>
      </c>
    </row>
    <row r="148" customFormat="false" ht="15" hidden="false" customHeight="false" outlineLevel="0" collapsed="false">
      <c r="A148" s="19"/>
      <c r="B148" s="18"/>
      <c r="C148" s="18"/>
      <c r="D148" s="18"/>
      <c r="E148" s="18"/>
      <c r="F148" s="22"/>
      <c r="G148" s="23"/>
      <c r="H148" s="18"/>
      <c r="I148" s="20" t="str">
        <f aca="false">IF(AND(B148="",F148=""),"",IF(OR(A148="",B148="",C148="",F148="",NOT(IFERROR(OR(IFERROR(AND(LEN(SUBSTITUTE(SUBSTITUTE(SUBSTITUTE(SUBSTITUTE(E148,".",""),"-","")," ",""),"/",""))=11,SUBSTITUTE(SUBSTITUTE(SUBSTITUTE(SUBSTITUTE(E148,".",""),"-","")," ",""),"/","")&lt;&gt;REPT(LEFT(SUBSTITUTE(SUBSTITUTE(SUBSTITUTE(SUBSTITUTE(E148,".",""),"-","")," ",""),"/",""),1),11),VALUE(MID(SUBSTITUTE(SUBSTITUTE(SUBSTITUTE(SUBSTITUTE(E148,".",""),"-","")," ",""),"/",""),10,1))=IF(MOD(SUMPRODUCT(--MID(SUBSTITUTE(SUBSTITUTE(SUBSTITUTE(SUBSTITUTE(E148,".",""),"-","")," ",""),"/",""),{1,2,3,4,5,6,7,8,9},1),{10,9,8,7,6,5,4,3,2}),11)&lt;2,0,11-MOD(SUMPRODUCT(--MID(SUBSTITUTE(SUBSTITUTE(SUBSTITUTE(SUBSTITUTE(E148,".",""),"-","")," ",""),"/",""),{1,2,3,4,5,6,7,8,9},1),{10,9,8,7,6,5,4,3,2}),11)),VALUE(MID(SUBSTITUTE(SUBSTITUTE(SUBSTITUTE(SUBSTITUTE(E148,".",""),"-","")," ",""),"/",""),11,1))=IF(MOD(SUMPRODUCT(--MID(SUBSTITUTE(SUBSTITUTE(SUBSTITUTE(SUBSTITUTE(E148,".",""),"-","")," ",""),"/",""),{1,2,3,4,5,6,7,8,9,10},1),{11,10,9,8,7,6,5,4,3,2}),11)&lt;2,0,11-MOD(SUMPRODUCT(--MID(SUBSTITUTE(SUBSTITUTE(SUBSTITUTE(SUBSTITUTE(E148,".",""),"-","")," ",""),"/",""),{1,2,3,4,5,6,7,8,9,10},1),{11,10,9,8,7,6,5,4,3,2}),11))),FALSE()),AND(LEN(SUBSTITUTE(SUBSTITUTE(SUBSTITUTE(SUBSTITUTE(E148,".",""),"-","")," ",""),"/",""))=14,ISNUMBER(VALUE(SUBSTITUTE(SUBSTITUTE(SUBSTITUTE(SUBSTITUTE(E148,".",""),"-","")," ",""),"/",""))))),FALSE()))),"Revisar",IF(G148&lt;&gt;"Sim","Falta comprovante",IF(AND(B148="Educação",SUMIFS($F$6:$F$155,$B$6:$B$155,"Educação",$C$6:$C$155,C148)&gt;Parâmetros!$B$6),"Acima do limite","OK"))))</f>
        <v/>
      </c>
    </row>
    <row r="149" customFormat="false" ht="15" hidden="false" customHeight="false" outlineLevel="0" collapsed="false">
      <c r="A149" s="19"/>
      <c r="B149" s="18"/>
      <c r="C149" s="18"/>
      <c r="D149" s="18"/>
      <c r="E149" s="18"/>
      <c r="F149" s="22"/>
      <c r="G149" s="23"/>
      <c r="H149" s="18"/>
      <c r="I149" s="20" t="str">
        <f aca="false">IF(AND(B149="",F149=""),"",IF(OR(A149="",B149="",C149="",F149="",NOT(IFERROR(OR(IFERROR(AND(LEN(SUBSTITUTE(SUBSTITUTE(SUBSTITUTE(SUBSTITUTE(E149,".",""),"-","")," ",""),"/",""))=11,SUBSTITUTE(SUBSTITUTE(SUBSTITUTE(SUBSTITUTE(E149,".",""),"-","")," ",""),"/","")&lt;&gt;REPT(LEFT(SUBSTITUTE(SUBSTITUTE(SUBSTITUTE(SUBSTITUTE(E149,".",""),"-","")," ",""),"/",""),1),11),VALUE(MID(SUBSTITUTE(SUBSTITUTE(SUBSTITUTE(SUBSTITUTE(E149,".",""),"-","")," ",""),"/",""),10,1))=IF(MOD(SUMPRODUCT(--MID(SUBSTITUTE(SUBSTITUTE(SUBSTITUTE(SUBSTITUTE(E149,".",""),"-","")," ",""),"/",""),{1,2,3,4,5,6,7,8,9},1),{10,9,8,7,6,5,4,3,2}),11)&lt;2,0,11-MOD(SUMPRODUCT(--MID(SUBSTITUTE(SUBSTITUTE(SUBSTITUTE(SUBSTITUTE(E149,".",""),"-","")," ",""),"/",""),{1,2,3,4,5,6,7,8,9},1),{10,9,8,7,6,5,4,3,2}),11)),VALUE(MID(SUBSTITUTE(SUBSTITUTE(SUBSTITUTE(SUBSTITUTE(E149,".",""),"-","")," ",""),"/",""),11,1))=IF(MOD(SUMPRODUCT(--MID(SUBSTITUTE(SUBSTITUTE(SUBSTITUTE(SUBSTITUTE(E149,".",""),"-","")," ",""),"/",""),{1,2,3,4,5,6,7,8,9,10},1),{11,10,9,8,7,6,5,4,3,2}),11)&lt;2,0,11-MOD(SUMPRODUCT(--MID(SUBSTITUTE(SUBSTITUTE(SUBSTITUTE(SUBSTITUTE(E149,".",""),"-","")," ",""),"/",""),{1,2,3,4,5,6,7,8,9,10},1),{11,10,9,8,7,6,5,4,3,2}),11))),FALSE()),AND(LEN(SUBSTITUTE(SUBSTITUTE(SUBSTITUTE(SUBSTITUTE(E149,".",""),"-","")," ",""),"/",""))=14,ISNUMBER(VALUE(SUBSTITUTE(SUBSTITUTE(SUBSTITUTE(SUBSTITUTE(E149,".",""),"-","")," ",""),"/",""))))),FALSE()))),"Revisar",IF(G149&lt;&gt;"Sim","Falta comprovante",IF(AND(B149="Educação",SUMIFS($F$6:$F$155,$B$6:$B$155,"Educação",$C$6:$C$155,C149)&gt;Parâmetros!$B$6),"Acima do limite","OK"))))</f>
        <v/>
      </c>
    </row>
    <row r="150" customFormat="false" ht="15" hidden="false" customHeight="false" outlineLevel="0" collapsed="false">
      <c r="A150" s="19"/>
      <c r="B150" s="18"/>
      <c r="C150" s="18"/>
      <c r="D150" s="18"/>
      <c r="E150" s="18"/>
      <c r="F150" s="22"/>
      <c r="G150" s="23"/>
      <c r="H150" s="18"/>
      <c r="I150" s="20" t="str">
        <f aca="false">IF(AND(B150="",F150=""),"",IF(OR(A150="",B150="",C150="",F150="",NOT(IFERROR(OR(IFERROR(AND(LEN(SUBSTITUTE(SUBSTITUTE(SUBSTITUTE(SUBSTITUTE(E150,".",""),"-","")," ",""),"/",""))=11,SUBSTITUTE(SUBSTITUTE(SUBSTITUTE(SUBSTITUTE(E150,".",""),"-","")," ",""),"/","")&lt;&gt;REPT(LEFT(SUBSTITUTE(SUBSTITUTE(SUBSTITUTE(SUBSTITUTE(E150,".",""),"-","")," ",""),"/",""),1),11),VALUE(MID(SUBSTITUTE(SUBSTITUTE(SUBSTITUTE(SUBSTITUTE(E150,".",""),"-","")," ",""),"/",""),10,1))=IF(MOD(SUMPRODUCT(--MID(SUBSTITUTE(SUBSTITUTE(SUBSTITUTE(SUBSTITUTE(E150,".",""),"-","")," ",""),"/",""),{1,2,3,4,5,6,7,8,9},1),{10,9,8,7,6,5,4,3,2}),11)&lt;2,0,11-MOD(SUMPRODUCT(--MID(SUBSTITUTE(SUBSTITUTE(SUBSTITUTE(SUBSTITUTE(E150,".",""),"-","")," ",""),"/",""),{1,2,3,4,5,6,7,8,9},1),{10,9,8,7,6,5,4,3,2}),11)),VALUE(MID(SUBSTITUTE(SUBSTITUTE(SUBSTITUTE(SUBSTITUTE(E150,".",""),"-","")," ",""),"/",""),11,1))=IF(MOD(SUMPRODUCT(--MID(SUBSTITUTE(SUBSTITUTE(SUBSTITUTE(SUBSTITUTE(E150,".",""),"-","")," ",""),"/",""),{1,2,3,4,5,6,7,8,9,10},1),{11,10,9,8,7,6,5,4,3,2}),11)&lt;2,0,11-MOD(SUMPRODUCT(--MID(SUBSTITUTE(SUBSTITUTE(SUBSTITUTE(SUBSTITUTE(E150,".",""),"-","")," ",""),"/",""),{1,2,3,4,5,6,7,8,9,10},1),{11,10,9,8,7,6,5,4,3,2}),11))),FALSE()),AND(LEN(SUBSTITUTE(SUBSTITUTE(SUBSTITUTE(SUBSTITUTE(E150,".",""),"-","")," ",""),"/",""))=14,ISNUMBER(VALUE(SUBSTITUTE(SUBSTITUTE(SUBSTITUTE(SUBSTITUTE(E150,".",""),"-","")," ",""),"/",""))))),FALSE()))),"Revisar",IF(G150&lt;&gt;"Sim","Falta comprovante",IF(AND(B150="Educação",SUMIFS($F$6:$F$155,$B$6:$B$155,"Educação",$C$6:$C$155,C150)&gt;Parâmetros!$B$6),"Acima do limite","OK"))))</f>
        <v/>
      </c>
    </row>
    <row r="151" customFormat="false" ht="15" hidden="false" customHeight="false" outlineLevel="0" collapsed="false">
      <c r="A151" s="19"/>
      <c r="B151" s="18"/>
      <c r="C151" s="18"/>
      <c r="D151" s="18"/>
      <c r="E151" s="18"/>
      <c r="F151" s="22"/>
      <c r="G151" s="23"/>
      <c r="H151" s="18"/>
      <c r="I151" s="20" t="str">
        <f aca="false">IF(AND(B151="",F151=""),"",IF(OR(A151="",B151="",C151="",F151="",NOT(IFERROR(OR(IFERROR(AND(LEN(SUBSTITUTE(SUBSTITUTE(SUBSTITUTE(SUBSTITUTE(E151,".",""),"-","")," ",""),"/",""))=11,SUBSTITUTE(SUBSTITUTE(SUBSTITUTE(SUBSTITUTE(E151,".",""),"-","")," ",""),"/","")&lt;&gt;REPT(LEFT(SUBSTITUTE(SUBSTITUTE(SUBSTITUTE(SUBSTITUTE(E151,".",""),"-","")," ",""),"/",""),1),11),VALUE(MID(SUBSTITUTE(SUBSTITUTE(SUBSTITUTE(SUBSTITUTE(E151,".",""),"-","")," ",""),"/",""),10,1))=IF(MOD(SUMPRODUCT(--MID(SUBSTITUTE(SUBSTITUTE(SUBSTITUTE(SUBSTITUTE(E151,".",""),"-","")," ",""),"/",""),{1,2,3,4,5,6,7,8,9},1),{10,9,8,7,6,5,4,3,2}),11)&lt;2,0,11-MOD(SUMPRODUCT(--MID(SUBSTITUTE(SUBSTITUTE(SUBSTITUTE(SUBSTITUTE(E151,".",""),"-","")," ",""),"/",""),{1,2,3,4,5,6,7,8,9},1),{10,9,8,7,6,5,4,3,2}),11)),VALUE(MID(SUBSTITUTE(SUBSTITUTE(SUBSTITUTE(SUBSTITUTE(E151,".",""),"-","")," ",""),"/",""),11,1))=IF(MOD(SUMPRODUCT(--MID(SUBSTITUTE(SUBSTITUTE(SUBSTITUTE(SUBSTITUTE(E151,".",""),"-","")," ",""),"/",""),{1,2,3,4,5,6,7,8,9,10},1),{11,10,9,8,7,6,5,4,3,2}),11)&lt;2,0,11-MOD(SUMPRODUCT(--MID(SUBSTITUTE(SUBSTITUTE(SUBSTITUTE(SUBSTITUTE(E151,".",""),"-","")," ",""),"/",""),{1,2,3,4,5,6,7,8,9,10},1),{11,10,9,8,7,6,5,4,3,2}),11))),FALSE()),AND(LEN(SUBSTITUTE(SUBSTITUTE(SUBSTITUTE(SUBSTITUTE(E151,".",""),"-","")," ",""),"/",""))=14,ISNUMBER(VALUE(SUBSTITUTE(SUBSTITUTE(SUBSTITUTE(SUBSTITUTE(E151,".",""),"-","")," ",""),"/",""))))),FALSE()))),"Revisar",IF(G151&lt;&gt;"Sim","Falta comprovante",IF(AND(B151="Educação",SUMIFS($F$6:$F$155,$B$6:$B$155,"Educação",$C$6:$C$155,C151)&gt;Parâmetros!$B$6),"Acima do limite","OK"))))</f>
        <v/>
      </c>
    </row>
    <row r="152" customFormat="false" ht="15" hidden="false" customHeight="false" outlineLevel="0" collapsed="false">
      <c r="A152" s="19"/>
      <c r="B152" s="18"/>
      <c r="C152" s="18"/>
      <c r="D152" s="18"/>
      <c r="E152" s="18"/>
      <c r="F152" s="22"/>
      <c r="G152" s="23"/>
      <c r="H152" s="18"/>
      <c r="I152" s="20" t="str">
        <f aca="false">IF(AND(B152="",F152=""),"",IF(OR(A152="",B152="",C152="",F152="",NOT(IFERROR(OR(IFERROR(AND(LEN(SUBSTITUTE(SUBSTITUTE(SUBSTITUTE(SUBSTITUTE(E152,".",""),"-","")," ",""),"/",""))=11,SUBSTITUTE(SUBSTITUTE(SUBSTITUTE(SUBSTITUTE(E152,".",""),"-","")," ",""),"/","")&lt;&gt;REPT(LEFT(SUBSTITUTE(SUBSTITUTE(SUBSTITUTE(SUBSTITUTE(E152,".",""),"-","")," ",""),"/",""),1),11),VALUE(MID(SUBSTITUTE(SUBSTITUTE(SUBSTITUTE(SUBSTITUTE(E152,".",""),"-","")," ",""),"/",""),10,1))=IF(MOD(SUMPRODUCT(--MID(SUBSTITUTE(SUBSTITUTE(SUBSTITUTE(SUBSTITUTE(E152,".",""),"-","")," ",""),"/",""),{1,2,3,4,5,6,7,8,9},1),{10,9,8,7,6,5,4,3,2}),11)&lt;2,0,11-MOD(SUMPRODUCT(--MID(SUBSTITUTE(SUBSTITUTE(SUBSTITUTE(SUBSTITUTE(E152,".",""),"-","")," ",""),"/",""),{1,2,3,4,5,6,7,8,9},1),{10,9,8,7,6,5,4,3,2}),11)),VALUE(MID(SUBSTITUTE(SUBSTITUTE(SUBSTITUTE(SUBSTITUTE(E152,".",""),"-","")," ",""),"/",""),11,1))=IF(MOD(SUMPRODUCT(--MID(SUBSTITUTE(SUBSTITUTE(SUBSTITUTE(SUBSTITUTE(E152,".",""),"-","")," ",""),"/",""),{1,2,3,4,5,6,7,8,9,10},1),{11,10,9,8,7,6,5,4,3,2}),11)&lt;2,0,11-MOD(SUMPRODUCT(--MID(SUBSTITUTE(SUBSTITUTE(SUBSTITUTE(SUBSTITUTE(E152,".",""),"-","")," ",""),"/",""),{1,2,3,4,5,6,7,8,9,10},1),{11,10,9,8,7,6,5,4,3,2}),11))),FALSE()),AND(LEN(SUBSTITUTE(SUBSTITUTE(SUBSTITUTE(SUBSTITUTE(E152,".",""),"-","")," ",""),"/",""))=14,ISNUMBER(VALUE(SUBSTITUTE(SUBSTITUTE(SUBSTITUTE(SUBSTITUTE(E152,".",""),"-","")," ",""),"/",""))))),FALSE()))),"Revisar",IF(G152&lt;&gt;"Sim","Falta comprovante",IF(AND(B152="Educação",SUMIFS($F$6:$F$155,$B$6:$B$155,"Educação",$C$6:$C$155,C152)&gt;Parâmetros!$B$6),"Acima do limite","OK"))))</f>
        <v/>
      </c>
    </row>
    <row r="153" customFormat="false" ht="15" hidden="false" customHeight="false" outlineLevel="0" collapsed="false">
      <c r="A153" s="19"/>
      <c r="B153" s="18"/>
      <c r="C153" s="18"/>
      <c r="D153" s="18"/>
      <c r="E153" s="18"/>
      <c r="F153" s="22"/>
      <c r="G153" s="23"/>
      <c r="H153" s="18"/>
      <c r="I153" s="20" t="str">
        <f aca="false">IF(AND(B153="",F153=""),"",IF(OR(A153="",B153="",C153="",F153="",NOT(IFERROR(OR(IFERROR(AND(LEN(SUBSTITUTE(SUBSTITUTE(SUBSTITUTE(SUBSTITUTE(E153,".",""),"-","")," ",""),"/",""))=11,SUBSTITUTE(SUBSTITUTE(SUBSTITUTE(SUBSTITUTE(E153,".",""),"-","")," ",""),"/","")&lt;&gt;REPT(LEFT(SUBSTITUTE(SUBSTITUTE(SUBSTITUTE(SUBSTITUTE(E153,".",""),"-","")," ",""),"/",""),1),11),VALUE(MID(SUBSTITUTE(SUBSTITUTE(SUBSTITUTE(SUBSTITUTE(E153,".",""),"-","")," ",""),"/",""),10,1))=IF(MOD(SUMPRODUCT(--MID(SUBSTITUTE(SUBSTITUTE(SUBSTITUTE(SUBSTITUTE(E153,".",""),"-","")," ",""),"/",""),{1,2,3,4,5,6,7,8,9},1),{10,9,8,7,6,5,4,3,2}),11)&lt;2,0,11-MOD(SUMPRODUCT(--MID(SUBSTITUTE(SUBSTITUTE(SUBSTITUTE(SUBSTITUTE(E153,".",""),"-","")," ",""),"/",""),{1,2,3,4,5,6,7,8,9},1),{10,9,8,7,6,5,4,3,2}),11)),VALUE(MID(SUBSTITUTE(SUBSTITUTE(SUBSTITUTE(SUBSTITUTE(E153,".",""),"-","")," ",""),"/",""),11,1))=IF(MOD(SUMPRODUCT(--MID(SUBSTITUTE(SUBSTITUTE(SUBSTITUTE(SUBSTITUTE(E153,".",""),"-","")," ",""),"/",""),{1,2,3,4,5,6,7,8,9,10},1),{11,10,9,8,7,6,5,4,3,2}),11)&lt;2,0,11-MOD(SUMPRODUCT(--MID(SUBSTITUTE(SUBSTITUTE(SUBSTITUTE(SUBSTITUTE(E153,".",""),"-","")," ",""),"/",""),{1,2,3,4,5,6,7,8,9,10},1),{11,10,9,8,7,6,5,4,3,2}),11))),FALSE()),AND(LEN(SUBSTITUTE(SUBSTITUTE(SUBSTITUTE(SUBSTITUTE(E153,".",""),"-","")," ",""),"/",""))=14,ISNUMBER(VALUE(SUBSTITUTE(SUBSTITUTE(SUBSTITUTE(SUBSTITUTE(E153,".",""),"-","")," ",""),"/",""))))),FALSE()))),"Revisar",IF(G153&lt;&gt;"Sim","Falta comprovante",IF(AND(B153="Educação",SUMIFS($F$6:$F$155,$B$6:$B$155,"Educação",$C$6:$C$155,C153)&gt;Parâmetros!$B$6),"Acima do limite","OK"))))</f>
        <v/>
      </c>
    </row>
    <row r="154" customFormat="false" ht="15" hidden="false" customHeight="false" outlineLevel="0" collapsed="false">
      <c r="A154" s="19"/>
      <c r="B154" s="18"/>
      <c r="C154" s="18"/>
      <c r="D154" s="18"/>
      <c r="E154" s="18"/>
      <c r="F154" s="22"/>
      <c r="G154" s="23"/>
      <c r="H154" s="18"/>
      <c r="I154" s="20" t="str">
        <f aca="false">IF(AND(B154="",F154=""),"",IF(OR(A154="",B154="",C154="",F154="",NOT(IFERROR(OR(IFERROR(AND(LEN(SUBSTITUTE(SUBSTITUTE(SUBSTITUTE(SUBSTITUTE(E154,".",""),"-","")," ",""),"/",""))=11,SUBSTITUTE(SUBSTITUTE(SUBSTITUTE(SUBSTITUTE(E154,".",""),"-","")," ",""),"/","")&lt;&gt;REPT(LEFT(SUBSTITUTE(SUBSTITUTE(SUBSTITUTE(SUBSTITUTE(E154,".",""),"-","")," ",""),"/",""),1),11),VALUE(MID(SUBSTITUTE(SUBSTITUTE(SUBSTITUTE(SUBSTITUTE(E154,".",""),"-","")," ",""),"/",""),10,1))=IF(MOD(SUMPRODUCT(--MID(SUBSTITUTE(SUBSTITUTE(SUBSTITUTE(SUBSTITUTE(E154,".",""),"-","")," ",""),"/",""),{1,2,3,4,5,6,7,8,9},1),{10,9,8,7,6,5,4,3,2}),11)&lt;2,0,11-MOD(SUMPRODUCT(--MID(SUBSTITUTE(SUBSTITUTE(SUBSTITUTE(SUBSTITUTE(E154,".",""),"-","")," ",""),"/",""),{1,2,3,4,5,6,7,8,9},1),{10,9,8,7,6,5,4,3,2}),11)),VALUE(MID(SUBSTITUTE(SUBSTITUTE(SUBSTITUTE(SUBSTITUTE(E154,".",""),"-","")," ",""),"/",""),11,1))=IF(MOD(SUMPRODUCT(--MID(SUBSTITUTE(SUBSTITUTE(SUBSTITUTE(SUBSTITUTE(E154,".",""),"-","")," ",""),"/",""),{1,2,3,4,5,6,7,8,9,10},1),{11,10,9,8,7,6,5,4,3,2}),11)&lt;2,0,11-MOD(SUMPRODUCT(--MID(SUBSTITUTE(SUBSTITUTE(SUBSTITUTE(SUBSTITUTE(E154,".",""),"-","")," ",""),"/",""),{1,2,3,4,5,6,7,8,9,10},1),{11,10,9,8,7,6,5,4,3,2}),11))),FALSE()),AND(LEN(SUBSTITUTE(SUBSTITUTE(SUBSTITUTE(SUBSTITUTE(E154,".",""),"-","")," ",""),"/",""))=14,ISNUMBER(VALUE(SUBSTITUTE(SUBSTITUTE(SUBSTITUTE(SUBSTITUTE(E154,".",""),"-","")," ",""),"/",""))))),FALSE()))),"Revisar",IF(G154&lt;&gt;"Sim","Falta comprovante",IF(AND(B154="Educação",SUMIFS($F$6:$F$155,$B$6:$B$155,"Educação",$C$6:$C$155,C154)&gt;Parâmetros!$B$6),"Acima do limite","OK"))))</f>
        <v/>
      </c>
    </row>
    <row r="155" customFormat="false" ht="15" hidden="false" customHeight="false" outlineLevel="0" collapsed="false">
      <c r="A155" s="19"/>
      <c r="B155" s="18"/>
      <c r="C155" s="18"/>
      <c r="D155" s="18"/>
      <c r="E155" s="18"/>
      <c r="F155" s="22"/>
      <c r="G155" s="23"/>
      <c r="H155" s="18"/>
      <c r="I155" s="20" t="str">
        <f aca="false">IF(AND(B155="",F155=""),"",IF(OR(A155="",B155="",C155="",F155="",NOT(IFERROR(OR(IFERROR(AND(LEN(SUBSTITUTE(SUBSTITUTE(SUBSTITUTE(SUBSTITUTE(E155,".",""),"-","")," ",""),"/",""))=11,SUBSTITUTE(SUBSTITUTE(SUBSTITUTE(SUBSTITUTE(E155,".",""),"-","")," ",""),"/","")&lt;&gt;REPT(LEFT(SUBSTITUTE(SUBSTITUTE(SUBSTITUTE(SUBSTITUTE(E155,".",""),"-","")," ",""),"/",""),1),11),VALUE(MID(SUBSTITUTE(SUBSTITUTE(SUBSTITUTE(SUBSTITUTE(E155,".",""),"-","")," ",""),"/",""),10,1))=IF(MOD(SUMPRODUCT(--MID(SUBSTITUTE(SUBSTITUTE(SUBSTITUTE(SUBSTITUTE(E155,".",""),"-","")," ",""),"/",""),{1,2,3,4,5,6,7,8,9},1),{10,9,8,7,6,5,4,3,2}),11)&lt;2,0,11-MOD(SUMPRODUCT(--MID(SUBSTITUTE(SUBSTITUTE(SUBSTITUTE(SUBSTITUTE(E155,".",""),"-","")," ",""),"/",""),{1,2,3,4,5,6,7,8,9},1),{10,9,8,7,6,5,4,3,2}),11)),VALUE(MID(SUBSTITUTE(SUBSTITUTE(SUBSTITUTE(SUBSTITUTE(E155,".",""),"-","")," ",""),"/",""),11,1))=IF(MOD(SUMPRODUCT(--MID(SUBSTITUTE(SUBSTITUTE(SUBSTITUTE(SUBSTITUTE(E155,".",""),"-","")," ",""),"/",""),{1,2,3,4,5,6,7,8,9,10},1),{11,10,9,8,7,6,5,4,3,2}),11)&lt;2,0,11-MOD(SUMPRODUCT(--MID(SUBSTITUTE(SUBSTITUTE(SUBSTITUTE(SUBSTITUTE(E155,".",""),"-","")," ",""),"/",""),{1,2,3,4,5,6,7,8,9,10},1),{11,10,9,8,7,6,5,4,3,2}),11))),FALSE()),AND(LEN(SUBSTITUTE(SUBSTITUTE(SUBSTITUTE(SUBSTITUTE(E155,".",""),"-","")," ",""),"/",""))=14,ISNUMBER(VALUE(SUBSTITUTE(SUBSTITUTE(SUBSTITUTE(SUBSTITUTE(E155,".",""),"-","")," ",""),"/",""))))),FALSE()))),"Revisar",IF(G155&lt;&gt;"Sim","Falta comprovante",IF(AND(B155="Educação",SUMIFS($F$6:$F$155,$B$6:$B$155,"Educação",$C$6:$C$155,C155)&gt;Parâmetros!$B$6),"Acima do limite","OK"))))</f>
        <v/>
      </c>
    </row>
  </sheetData>
  <conditionalFormatting sqref="I6:I15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dataValidations count="5">
    <dataValidation allowBlank="true" error="Informe um valor numérico maior ou igual a zero." errorStyle="stop" errorTitle="Valor inválido" operator="greaterThanOrEqual" showDropDown="false" showErrorMessage="true" showInputMessage="false" sqref="F6:F155" type="decimal">
      <formula1>0</formula1>
      <formula2>0</formula2>
    </dataValidation>
    <dataValidation allowBlank="true" error="Escolha um item da lista." errorStyle="stop" errorTitle="Valor inválido" operator="between" showDropDown="false" showErrorMessage="true" showInputMessage="false" sqref="B6:B155" type="list">
      <formula1>Listas!$D$5:$D$9</formula1>
      <formula2>0</formula2>
    </dataValidation>
    <dataValidation allowBlank="true" error="Escolha um item da lista." errorStyle="stop" errorTitle="Valor inválido" operator="between" showDropDown="false" showErrorMessage="true" showInputMessage="false" sqref="C6:C155" type="list">
      <formula1>Listas!$K$5:$K$15</formula1>
      <formula2>0</formula2>
    </dataValidation>
    <dataValidation allowBlank="true" error="Escolha um item da lista." errorStyle="stop" errorTitle="Valor inválido" operator="between" showDropDown="false" showErrorMessage="true" showInputMessage="false" sqref="G6:G155" type="list">
      <formula1>Listas!$I$5:$I$6</formula1>
      <formula2>0</formula2>
    </dataValidation>
    <dataValidation allowBlank="true" error="A data precisa estar dentro do ano-calendário definido em Parâmetros." errorStyle="stop" errorTitle="Data fora do ano-calendário" operator="between" showDropDown="false" showErrorMessage="true" showInputMessage="false" sqref="A6:A155" type="date">
      <formula1>DATE(Parâmetros!$B$4,1,1)</formula1>
      <formula2>DATE(Parâmetros!$B$4,12,31)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14</v>
      </c>
    </row>
    <row r="3" customFormat="false" ht="15" hidden="false" customHeight="false" outlineLevel="0" collapsed="false">
      <c r="A3" s="12" t="s">
        <v>94</v>
      </c>
    </row>
    <row r="5" customFormat="false" ht="33.75" hidden="false" customHeight="true" outlineLevel="0" collapsed="false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51</v>
      </c>
    </row>
    <row r="6" customFormat="false" ht="15" hidden="false" customHeight="false" outlineLevel="0" collapsed="false">
      <c r="A6" s="18" t="s">
        <v>101</v>
      </c>
      <c r="B6" s="18" t="s">
        <v>102</v>
      </c>
      <c r="C6" s="18" t="s">
        <v>103</v>
      </c>
      <c r="D6" s="22" t="n">
        <v>40000</v>
      </c>
      <c r="E6" s="22" t="n">
        <v>36000</v>
      </c>
      <c r="F6" s="24" t="n">
        <f aca="false">IF(AND(D6="",E6=""),"",N(E6)-N(D6))</f>
        <v>-4000</v>
      </c>
      <c r="G6" s="20" t="str">
        <f aca="false">IF(AND(A6="",B6="",E6=""),"",IF(OR(A6="",B6="",E6=""),"Revisar","OK"))</f>
        <v>OK</v>
      </c>
    </row>
    <row r="7" customFormat="false" ht="15" hidden="false" customHeight="false" outlineLevel="0" collapsed="false">
      <c r="A7" s="18" t="s">
        <v>104</v>
      </c>
      <c r="B7" s="18" t="s">
        <v>105</v>
      </c>
      <c r="C7" s="18" t="s">
        <v>71</v>
      </c>
      <c r="D7" s="22" t="n">
        <v>5000</v>
      </c>
      <c r="E7" s="22" t="n">
        <v>8200</v>
      </c>
      <c r="F7" s="24" t="n">
        <f aca="false">IF(AND(D7="",E7=""),"",N(E7)-N(D7))</f>
        <v>3200</v>
      </c>
      <c r="G7" s="20" t="str">
        <f aca="false">IF(AND(A7="",B7="",E7=""),"",IF(OR(A7="",B7="",E7=""),"Revisar","OK"))</f>
        <v>OK</v>
      </c>
    </row>
    <row r="8" customFormat="false" ht="15" hidden="false" customHeight="false" outlineLevel="0" collapsed="false">
      <c r="A8" s="18"/>
      <c r="B8" s="18"/>
      <c r="C8" s="18"/>
      <c r="D8" s="22"/>
      <c r="E8" s="22"/>
      <c r="F8" s="24" t="str">
        <f aca="false">IF(AND(D8="",E8=""),"",N(E8)-N(D8))</f>
        <v/>
      </c>
      <c r="G8" s="20" t="str">
        <f aca="false">IF(AND(A8="",B8="",E8=""),"",IF(OR(A8="",B8="",E8=""),"Revisar","OK"))</f>
        <v/>
      </c>
    </row>
    <row r="9" customFormat="false" ht="15" hidden="false" customHeight="false" outlineLevel="0" collapsed="false">
      <c r="A9" s="18"/>
      <c r="B9" s="18"/>
      <c r="C9" s="18"/>
      <c r="D9" s="22"/>
      <c r="E9" s="22"/>
      <c r="F9" s="24" t="str">
        <f aca="false">IF(AND(D9="",E9=""),"",N(E9)-N(D9))</f>
        <v/>
      </c>
      <c r="G9" s="20" t="str">
        <f aca="false">IF(AND(A9="",B9="",E9=""),"",IF(OR(A9="",B9="",E9=""),"Revisar","OK"))</f>
        <v/>
      </c>
    </row>
    <row r="10" customFormat="false" ht="15" hidden="false" customHeight="false" outlineLevel="0" collapsed="false">
      <c r="A10" s="18"/>
      <c r="B10" s="18"/>
      <c r="C10" s="18"/>
      <c r="D10" s="22"/>
      <c r="E10" s="22"/>
      <c r="F10" s="24" t="str">
        <f aca="false">IF(AND(D10="",E10=""),"",N(E10)-N(D10))</f>
        <v/>
      </c>
      <c r="G10" s="20" t="str">
        <f aca="false">IF(AND(A10="",B10="",E10=""),"",IF(OR(A10="",B10="",E10=""),"Revisar","OK"))</f>
        <v/>
      </c>
    </row>
    <row r="11" customFormat="false" ht="15" hidden="false" customHeight="false" outlineLevel="0" collapsed="false">
      <c r="A11" s="18"/>
      <c r="B11" s="18"/>
      <c r="C11" s="18"/>
      <c r="D11" s="22"/>
      <c r="E11" s="22"/>
      <c r="F11" s="24" t="str">
        <f aca="false">IF(AND(D11="",E11=""),"",N(E11)-N(D11))</f>
        <v/>
      </c>
      <c r="G11" s="20" t="str">
        <f aca="false">IF(AND(A11="",B11="",E11=""),"",IF(OR(A11="",B11="",E11=""),"Revisar","OK"))</f>
        <v/>
      </c>
    </row>
    <row r="12" customFormat="false" ht="15" hidden="false" customHeight="false" outlineLevel="0" collapsed="false">
      <c r="A12" s="18"/>
      <c r="B12" s="18"/>
      <c r="C12" s="18"/>
      <c r="D12" s="22"/>
      <c r="E12" s="22"/>
      <c r="F12" s="24" t="str">
        <f aca="false">IF(AND(D12="",E12=""),"",N(E12)-N(D12))</f>
        <v/>
      </c>
      <c r="G12" s="20" t="str">
        <f aca="false">IF(AND(A12="",B12="",E12=""),"",IF(OR(A12="",B12="",E12=""),"Revisar","OK"))</f>
        <v/>
      </c>
    </row>
    <row r="13" customFormat="false" ht="15" hidden="false" customHeight="false" outlineLevel="0" collapsed="false">
      <c r="A13" s="18"/>
      <c r="B13" s="18"/>
      <c r="C13" s="18"/>
      <c r="D13" s="22"/>
      <c r="E13" s="22"/>
      <c r="F13" s="24" t="str">
        <f aca="false">IF(AND(D13="",E13=""),"",N(E13)-N(D13))</f>
        <v/>
      </c>
      <c r="G13" s="20" t="str">
        <f aca="false">IF(AND(A13="",B13="",E13=""),"",IF(OR(A13="",B13="",E13=""),"Revisar","OK"))</f>
        <v/>
      </c>
    </row>
    <row r="14" customFormat="false" ht="15" hidden="false" customHeight="false" outlineLevel="0" collapsed="false">
      <c r="A14" s="18"/>
      <c r="B14" s="18"/>
      <c r="C14" s="18"/>
      <c r="D14" s="22"/>
      <c r="E14" s="22"/>
      <c r="F14" s="24" t="str">
        <f aca="false">IF(AND(D14="",E14=""),"",N(E14)-N(D14))</f>
        <v/>
      </c>
      <c r="G14" s="20" t="str">
        <f aca="false">IF(AND(A14="",B14="",E14=""),"",IF(OR(A14="",B14="",E14=""),"Revisar","OK"))</f>
        <v/>
      </c>
    </row>
    <row r="15" customFormat="false" ht="15" hidden="false" customHeight="false" outlineLevel="0" collapsed="false">
      <c r="A15" s="18"/>
      <c r="B15" s="18"/>
      <c r="C15" s="18"/>
      <c r="D15" s="22"/>
      <c r="E15" s="22"/>
      <c r="F15" s="24" t="str">
        <f aca="false">IF(AND(D15="",E15=""),"",N(E15)-N(D15))</f>
        <v/>
      </c>
      <c r="G15" s="20" t="str">
        <f aca="false">IF(AND(A15="",B15="",E15=""),"",IF(OR(A15="",B15="",E15=""),"Revisar","OK"))</f>
        <v/>
      </c>
    </row>
    <row r="16" customFormat="false" ht="15" hidden="false" customHeight="false" outlineLevel="0" collapsed="false">
      <c r="A16" s="18"/>
      <c r="B16" s="18"/>
      <c r="C16" s="18"/>
      <c r="D16" s="22"/>
      <c r="E16" s="22"/>
      <c r="F16" s="24" t="str">
        <f aca="false">IF(AND(D16="",E16=""),"",N(E16)-N(D16))</f>
        <v/>
      </c>
      <c r="G16" s="20" t="str">
        <f aca="false">IF(AND(A16="",B16="",E16=""),"",IF(OR(A16="",B16="",E16=""),"Revisar","OK"))</f>
        <v/>
      </c>
    </row>
    <row r="17" customFormat="false" ht="15" hidden="false" customHeight="false" outlineLevel="0" collapsed="false">
      <c r="A17" s="18"/>
      <c r="B17" s="18"/>
      <c r="C17" s="18"/>
      <c r="D17" s="22"/>
      <c r="E17" s="22"/>
      <c r="F17" s="24" t="str">
        <f aca="false">IF(AND(D17="",E17=""),"",N(E17)-N(D17))</f>
        <v/>
      </c>
      <c r="G17" s="20" t="str">
        <f aca="false">IF(AND(A17="",B17="",E17=""),"",IF(OR(A17="",B17="",E17=""),"Revisar","OK"))</f>
        <v/>
      </c>
    </row>
    <row r="18" customFormat="false" ht="15" hidden="false" customHeight="false" outlineLevel="0" collapsed="false">
      <c r="A18" s="18"/>
      <c r="B18" s="18"/>
      <c r="C18" s="18"/>
      <c r="D18" s="22"/>
      <c r="E18" s="22"/>
      <c r="F18" s="24" t="str">
        <f aca="false">IF(AND(D18="",E18=""),"",N(E18)-N(D18))</f>
        <v/>
      </c>
      <c r="G18" s="20" t="str">
        <f aca="false">IF(AND(A18="",B18="",E18=""),"",IF(OR(A18="",B18="",E18=""),"Revisar","OK"))</f>
        <v/>
      </c>
    </row>
    <row r="19" customFormat="false" ht="15" hidden="false" customHeight="false" outlineLevel="0" collapsed="false">
      <c r="A19" s="18"/>
      <c r="B19" s="18"/>
      <c r="C19" s="18"/>
      <c r="D19" s="22"/>
      <c r="E19" s="22"/>
      <c r="F19" s="24" t="str">
        <f aca="false">IF(AND(D19="",E19=""),"",N(E19)-N(D19))</f>
        <v/>
      </c>
      <c r="G19" s="20" t="str">
        <f aca="false">IF(AND(A19="",B19="",E19=""),"",IF(OR(A19="",B19="",E19=""),"Revisar","OK"))</f>
        <v/>
      </c>
    </row>
    <row r="20" customFormat="false" ht="15" hidden="false" customHeight="false" outlineLevel="0" collapsed="false">
      <c r="A20" s="18"/>
      <c r="B20" s="18"/>
      <c r="C20" s="18"/>
      <c r="D20" s="22"/>
      <c r="E20" s="22"/>
      <c r="F20" s="24" t="str">
        <f aca="false">IF(AND(D20="",E20=""),"",N(E20)-N(D20))</f>
        <v/>
      </c>
      <c r="G20" s="20" t="str">
        <f aca="false">IF(AND(A20="",B20="",E20=""),"",IF(OR(A20="",B20="",E20=""),"Revisar","OK"))</f>
        <v/>
      </c>
    </row>
    <row r="21" customFormat="false" ht="15" hidden="false" customHeight="false" outlineLevel="0" collapsed="false">
      <c r="A21" s="18"/>
      <c r="B21" s="18"/>
      <c r="C21" s="18"/>
      <c r="D21" s="22"/>
      <c r="E21" s="22"/>
      <c r="F21" s="24" t="str">
        <f aca="false">IF(AND(D21="",E21=""),"",N(E21)-N(D21))</f>
        <v/>
      </c>
      <c r="G21" s="20" t="str">
        <f aca="false">IF(AND(A21="",B21="",E21=""),"",IF(OR(A21="",B21="",E21=""),"Revisar","OK"))</f>
        <v/>
      </c>
    </row>
    <row r="22" customFormat="false" ht="15" hidden="false" customHeight="false" outlineLevel="0" collapsed="false">
      <c r="A22" s="18"/>
      <c r="B22" s="18"/>
      <c r="C22" s="18"/>
      <c r="D22" s="22"/>
      <c r="E22" s="22"/>
      <c r="F22" s="24" t="str">
        <f aca="false">IF(AND(D22="",E22=""),"",N(E22)-N(D22))</f>
        <v/>
      </c>
      <c r="G22" s="20" t="str">
        <f aca="false">IF(AND(A22="",B22="",E22=""),"",IF(OR(A22="",B22="",E22=""),"Revisar","OK"))</f>
        <v/>
      </c>
    </row>
    <row r="23" customFormat="false" ht="15" hidden="false" customHeight="false" outlineLevel="0" collapsed="false">
      <c r="A23" s="18"/>
      <c r="B23" s="18"/>
      <c r="C23" s="18"/>
      <c r="D23" s="22"/>
      <c r="E23" s="22"/>
      <c r="F23" s="24" t="str">
        <f aca="false">IF(AND(D23="",E23=""),"",N(E23)-N(D23))</f>
        <v/>
      </c>
      <c r="G23" s="20" t="str">
        <f aca="false">IF(AND(A23="",B23="",E23=""),"",IF(OR(A23="",B23="",E23=""),"Revisar","OK"))</f>
        <v/>
      </c>
    </row>
    <row r="24" customFormat="false" ht="15" hidden="false" customHeight="false" outlineLevel="0" collapsed="false">
      <c r="A24" s="18"/>
      <c r="B24" s="18"/>
      <c r="C24" s="18"/>
      <c r="D24" s="22"/>
      <c r="E24" s="22"/>
      <c r="F24" s="24" t="str">
        <f aca="false">IF(AND(D24="",E24=""),"",N(E24)-N(D24))</f>
        <v/>
      </c>
      <c r="G24" s="20" t="str">
        <f aca="false">IF(AND(A24="",B24="",E24=""),"",IF(OR(A24="",B24="",E24=""),"Revisar","OK"))</f>
        <v/>
      </c>
    </row>
    <row r="25" customFormat="false" ht="15" hidden="false" customHeight="false" outlineLevel="0" collapsed="false">
      <c r="A25" s="18"/>
      <c r="B25" s="18"/>
      <c r="C25" s="18"/>
      <c r="D25" s="22"/>
      <c r="E25" s="22"/>
      <c r="F25" s="24" t="str">
        <f aca="false">IF(AND(D25="",E25=""),"",N(E25)-N(D25))</f>
        <v/>
      </c>
      <c r="G25" s="20" t="str">
        <f aca="false">IF(AND(A25="",B25="",E25=""),"",IF(OR(A25="",B25="",E25=""),"Revisar","OK"))</f>
        <v/>
      </c>
    </row>
    <row r="26" customFormat="false" ht="15" hidden="false" customHeight="false" outlineLevel="0" collapsed="false">
      <c r="A26" s="18"/>
      <c r="B26" s="18"/>
      <c r="C26" s="18"/>
      <c r="D26" s="22"/>
      <c r="E26" s="22"/>
      <c r="F26" s="24" t="str">
        <f aca="false">IF(AND(D26="",E26=""),"",N(E26)-N(D26))</f>
        <v/>
      </c>
      <c r="G26" s="20" t="str">
        <f aca="false">IF(AND(A26="",B26="",E26=""),"",IF(OR(A26="",B26="",E26=""),"Revisar","OK"))</f>
        <v/>
      </c>
    </row>
    <row r="27" customFormat="false" ht="15" hidden="false" customHeight="false" outlineLevel="0" collapsed="false">
      <c r="A27" s="18"/>
      <c r="B27" s="18"/>
      <c r="C27" s="18"/>
      <c r="D27" s="22"/>
      <c r="E27" s="22"/>
      <c r="F27" s="24" t="str">
        <f aca="false">IF(AND(D27="",E27=""),"",N(E27)-N(D27))</f>
        <v/>
      </c>
      <c r="G27" s="20" t="str">
        <f aca="false">IF(AND(A27="",B27="",E27=""),"",IF(OR(A27="",B27="",E27=""),"Revisar","OK"))</f>
        <v/>
      </c>
    </row>
    <row r="28" customFormat="false" ht="15" hidden="false" customHeight="false" outlineLevel="0" collapsed="false">
      <c r="A28" s="18"/>
      <c r="B28" s="18"/>
      <c r="C28" s="18"/>
      <c r="D28" s="22"/>
      <c r="E28" s="22"/>
      <c r="F28" s="24" t="str">
        <f aca="false">IF(AND(D28="",E28=""),"",N(E28)-N(D28))</f>
        <v/>
      </c>
      <c r="G28" s="20" t="str">
        <f aca="false">IF(AND(A28="",B28="",E28=""),"",IF(OR(A28="",B28="",E28=""),"Revisar","OK"))</f>
        <v/>
      </c>
    </row>
    <row r="29" customFormat="false" ht="15" hidden="false" customHeight="false" outlineLevel="0" collapsed="false">
      <c r="A29" s="18"/>
      <c r="B29" s="18"/>
      <c r="C29" s="18"/>
      <c r="D29" s="22"/>
      <c r="E29" s="22"/>
      <c r="F29" s="24" t="str">
        <f aca="false">IF(AND(D29="",E29=""),"",N(E29)-N(D29))</f>
        <v/>
      </c>
      <c r="G29" s="20" t="str">
        <f aca="false">IF(AND(A29="",B29="",E29=""),"",IF(OR(A29="",B29="",E29=""),"Revisar","OK"))</f>
        <v/>
      </c>
    </row>
    <row r="30" customFormat="false" ht="15" hidden="false" customHeight="false" outlineLevel="0" collapsed="false">
      <c r="A30" s="18"/>
      <c r="B30" s="18"/>
      <c r="C30" s="18"/>
      <c r="D30" s="22"/>
      <c r="E30" s="22"/>
      <c r="F30" s="24" t="str">
        <f aca="false">IF(AND(D30="",E30=""),"",N(E30)-N(D30))</f>
        <v/>
      </c>
      <c r="G30" s="20" t="str">
        <f aca="false">IF(AND(A30="",B30="",E30=""),"",IF(OR(A30="",B30="",E30=""),"Revisar","OK"))</f>
        <v/>
      </c>
    </row>
    <row r="31" customFormat="false" ht="15" hidden="false" customHeight="false" outlineLevel="0" collapsed="false">
      <c r="A31" s="18"/>
      <c r="B31" s="18"/>
      <c r="C31" s="18"/>
      <c r="D31" s="22"/>
      <c r="E31" s="22"/>
      <c r="F31" s="24" t="str">
        <f aca="false">IF(AND(D31="",E31=""),"",N(E31)-N(D31))</f>
        <v/>
      </c>
      <c r="G31" s="20" t="str">
        <f aca="false">IF(AND(A31="",B31="",E31=""),"",IF(OR(A31="",B31="",E31=""),"Revisar","OK"))</f>
        <v/>
      </c>
    </row>
    <row r="32" customFormat="false" ht="15" hidden="false" customHeight="false" outlineLevel="0" collapsed="false">
      <c r="A32" s="18"/>
      <c r="B32" s="18"/>
      <c r="C32" s="18"/>
      <c r="D32" s="22"/>
      <c r="E32" s="22"/>
      <c r="F32" s="24" t="str">
        <f aca="false">IF(AND(D32="",E32=""),"",N(E32)-N(D32))</f>
        <v/>
      </c>
      <c r="G32" s="20" t="str">
        <f aca="false">IF(AND(A32="",B32="",E32=""),"",IF(OR(A32="",B32="",E32=""),"Revisar","OK"))</f>
        <v/>
      </c>
    </row>
    <row r="33" customFormat="false" ht="15" hidden="false" customHeight="false" outlineLevel="0" collapsed="false">
      <c r="A33" s="18"/>
      <c r="B33" s="18"/>
      <c r="C33" s="18"/>
      <c r="D33" s="22"/>
      <c r="E33" s="22"/>
      <c r="F33" s="24" t="str">
        <f aca="false">IF(AND(D33="",E33=""),"",N(E33)-N(D33))</f>
        <v/>
      </c>
      <c r="G33" s="20" t="str">
        <f aca="false">IF(AND(A33="",B33="",E33=""),"",IF(OR(A33="",B33="",E33=""),"Revisar","OK"))</f>
        <v/>
      </c>
    </row>
    <row r="34" customFormat="false" ht="15" hidden="false" customHeight="false" outlineLevel="0" collapsed="false">
      <c r="A34" s="18"/>
      <c r="B34" s="18"/>
      <c r="C34" s="18"/>
      <c r="D34" s="22"/>
      <c r="E34" s="22"/>
      <c r="F34" s="24" t="str">
        <f aca="false">IF(AND(D34="",E34=""),"",N(E34)-N(D34))</f>
        <v/>
      </c>
      <c r="G34" s="20" t="str">
        <f aca="false">IF(AND(A34="",B34="",E34=""),"",IF(OR(A34="",B34="",E34=""),"Revisar","OK"))</f>
        <v/>
      </c>
    </row>
    <row r="35" customFormat="false" ht="15" hidden="false" customHeight="false" outlineLevel="0" collapsed="false">
      <c r="A35" s="18"/>
      <c r="B35" s="18"/>
      <c r="C35" s="18"/>
      <c r="D35" s="22"/>
      <c r="E35" s="22"/>
      <c r="F35" s="24" t="str">
        <f aca="false">IF(AND(D35="",E35=""),"",N(E35)-N(D35))</f>
        <v/>
      </c>
      <c r="G35" s="20" t="str">
        <f aca="false">IF(AND(A35="",B35="",E35=""),"",IF(OR(A35="",B35="",E35=""),"Revisar","OK"))</f>
        <v/>
      </c>
    </row>
    <row r="36" customFormat="false" ht="15" hidden="false" customHeight="false" outlineLevel="0" collapsed="false">
      <c r="A36" s="18"/>
      <c r="B36" s="18"/>
      <c r="C36" s="18"/>
      <c r="D36" s="22"/>
      <c r="E36" s="22"/>
      <c r="F36" s="24" t="str">
        <f aca="false">IF(AND(D36="",E36=""),"",N(E36)-N(D36))</f>
        <v/>
      </c>
      <c r="G36" s="20" t="str">
        <f aca="false">IF(AND(A36="",B36="",E36=""),"",IF(OR(A36="",B36="",E36=""),"Revisar","OK"))</f>
        <v/>
      </c>
    </row>
    <row r="37" customFormat="false" ht="15" hidden="false" customHeight="false" outlineLevel="0" collapsed="false">
      <c r="A37" s="18"/>
      <c r="B37" s="18"/>
      <c r="C37" s="18"/>
      <c r="D37" s="22"/>
      <c r="E37" s="22"/>
      <c r="F37" s="24" t="str">
        <f aca="false">IF(AND(D37="",E37=""),"",N(E37)-N(D37))</f>
        <v/>
      </c>
      <c r="G37" s="20" t="str">
        <f aca="false">IF(AND(A37="",B37="",E37=""),"",IF(OR(A37="",B37="",E37=""),"Revisar","OK"))</f>
        <v/>
      </c>
    </row>
    <row r="38" customFormat="false" ht="15" hidden="false" customHeight="false" outlineLevel="0" collapsed="false">
      <c r="A38" s="18"/>
      <c r="B38" s="18"/>
      <c r="C38" s="18"/>
      <c r="D38" s="22"/>
      <c r="E38" s="22"/>
      <c r="F38" s="24" t="str">
        <f aca="false">IF(AND(D38="",E38=""),"",N(E38)-N(D38))</f>
        <v/>
      </c>
      <c r="G38" s="20" t="str">
        <f aca="false">IF(AND(A38="",B38="",E38=""),"",IF(OR(A38="",B38="",E38=""),"Revisar","OK"))</f>
        <v/>
      </c>
    </row>
    <row r="39" customFormat="false" ht="15" hidden="false" customHeight="false" outlineLevel="0" collapsed="false">
      <c r="A39" s="18"/>
      <c r="B39" s="18"/>
      <c r="C39" s="18"/>
      <c r="D39" s="22"/>
      <c r="E39" s="22"/>
      <c r="F39" s="24" t="str">
        <f aca="false">IF(AND(D39="",E39=""),"",N(E39)-N(D39))</f>
        <v/>
      </c>
      <c r="G39" s="20" t="str">
        <f aca="false">IF(AND(A39="",B39="",E39=""),"",IF(OR(A39="",B39="",E39=""),"Revisar","OK"))</f>
        <v/>
      </c>
    </row>
    <row r="40" customFormat="false" ht="15" hidden="false" customHeight="false" outlineLevel="0" collapsed="false">
      <c r="A40" s="18"/>
      <c r="B40" s="18"/>
      <c r="C40" s="18"/>
      <c r="D40" s="22"/>
      <c r="E40" s="22"/>
      <c r="F40" s="24" t="str">
        <f aca="false">IF(AND(D40="",E40=""),"",N(E40)-N(D40))</f>
        <v/>
      </c>
      <c r="G40" s="20" t="str">
        <f aca="false">IF(AND(A40="",B40="",E40=""),"",IF(OR(A40="",B40="",E40=""),"Revisar","OK"))</f>
        <v/>
      </c>
    </row>
    <row r="41" customFormat="false" ht="15" hidden="false" customHeight="false" outlineLevel="0" collapsed="false">
      <c r="A41" s="18"/>
      <c r="B41" s="18"/>
      <c r="C41" s="18"/>
      <c r="D41" s="22"/>
      <c r="E41" s="22"/>
      <c r="F41" s="24" t="str">
        <f aca="false">IF(AND(D41="",E41=""),"",N(E41)-N(D41))</f>
        <v/>
      </c>
      <c r="G41" s="20" t="str">
        <f aca="false">IF(AND(A41="",B41="",E41=""),"",IF(OR(A41="",B41="",E41=""),"Revisar","OK"))</f>
        <v/>
      </c>
    </row>
    <row r="42" customFormat="false" ht="15" hidden="false" customHeight="false" outlineLevel="0" collapsed="false">
      <c r="A42" s="18"/>
      <c r="B42" s="18"/>
      <c r="C42" s="18"/>
      <c r="D42" s="22"/>
      <c r="E42" s="22"/>
      <c r="F42" s="24" t="str">
        <f aca="false">IF(AND(D42="",E42=""),"",N(E42)-N(D42))</f>
        <v/>
      </c>
      <c r="G42" s="20" t="str">
        <f aca="false">IF(AND(A42="",B42="",E42=""),"",IF(OR(A42="",B42="",E42=""),"Revisar","OK"))</f>
        <v/>
      </c>
    </row>
    <row r="43" customFormat="false" ht="15" hidden="false" customHeight="false" outlineLevel="0" collapsed="false">
      <c r="A43" s="18"/>
      <c r="B43" s="18"/>
      <c r="C43" s="18"/>
      <c r="D43" s="22"/>
      <c r="E43" s="22"/>
      <c r="F43" s="24" t="str">
        <f aca="false">IF(AND(D43="",E43=""),"",N(E43)-N(D43))</f>
        <v/>
      </c>
      <c r="G43" s="20" t="str">
        <f aca="false">IF(AND(A43="",B43="",E43=""),"",IF(OR(A43="",B43="",E43=""),"Revisar","OK"))</f>
        <v/>
      </c>
    </row>
    <row r="44" customFormat="false" ht="15" hidden="false" customHeight="false" outlineLevel="0" collapsed="false">
      <c r="A44" s="18"/>
      <c r="B44" s="18"/>
      <c r="C44" s="18"/>
      <c r="D44" s="22"/>
      <c r="E44" s="22"/>
      <c r="F44" s="24" t="str">
        <f aca="false">IF(AND(D44="",E44=""),"",N(E44)-N(D44))</f>
        <v/>
      </c>
      <c r="G44" s="20" t="str">
        <f aca="false">IF(AND(A44="",B44="",E44=""),"",IF(OR(A44="",B44="",E44=""),"Revisar","OK"))</f>
        <v/>
      </c>
    </row>
    <row r="45" customFormat="false" ht="15" hidden="false" customHeight="false" outlineLevel="0" collapsed="false">
      <c r="A45" s="18"/>
      <c r="B45" s="18"/>
      <c r="C45" s="18"/>
      <c r="D45" s="22"/>
      <c r="E45" s="22"/>
      <c r="F45" s="24" t="str">
        <f aca="false">IF(AND(D45="",E45=""),"",N(E45)-N(D45))</f>
        <v/>
      </c>
      <c r="G45" s="20" t="str">
        <f aca="false">IF(AND(A45="",B45="",E45=""),"",IF(OR(A45="",B45="",E45=""),"Revisar","OK"))</f>
        <v/>
      </c>
    </row>
    <row r="46" customFormat="false" ht="15" hidden="false" customHeight="false" outlineLevel="0" collapsed="false">
      <c r="A46" s="18"/>
      <c r="B46" s="18"/>
      <c r="C46" s="18"/>
      <c r="D46" s="22"/>
      <c r="E46" s="22"/>
      <c r="F46" s="24" t="str">
        <f aca="false">IF(AND(D46="",E46=""),"",N(E46)-N(D46))</f>
        <v/>
      </c>
      <c r="G46" s="20" t="str">
        <f aca="false">IF(AND(A46="",B46="",E46=""),"",IF(OR(A46="",B46="",E46=""),"Revisar","OK"))</f>
        <v/>
      </c>
    </row>
    <row r="47" customFormat="false" ht="15" hidden="false" customHeight="false" outlineLevel="0" collapsed="false">
      <c r="A47" s="18"/>
      <c r="B47" s="18"/>
      <c r="C47" s="18"/>
      <c r="D47" s="22"/>
      <c r="E47" s="22"/>
      <c r="F47" s="24" t="str">
        <f aca="false">IF(AND(D47="",E47=""),"",N(E47)-N(D47))</f>
        <v/>
      </c>
      <c r="G47" s="20" t="str">
        <f aca="false">IF(AND(A47="",B47="",E47=""),"",IF(OR(A47="",B47="",E47=""),"Revisar","OK"))</f>
        <v/>
      </c>
    </row>
    <row r="48" customFormat="false" ht="15" hidden="false" customHeight="false" outlineLevel="0" collapsed="false">
      <c r="A48" s="18"/>
      <c r="B48" s="18"/>
      <c r="C48" s="18"/>
      <c r="D48" s="22"/>
      <c r="E48" s="22"/>
      <c r="F48" s="24" t="str">
        <f aca="false">IF(AND(D48="",E48=""),"",N(E48)-N(D48))</f>
        <v/>
      </c>
      <c r="G48" s="20" t="str">
        <f aca="false">IF(AND(A48="",B48="",E48=""),"",IF(OR(A48="",B48="",E48=""),"Revisar","OK"))</f>
        <v/>
      </c>
    </row>
    <row r="49" customFormat="false" ht="15" hidden="false" customHeight="false" outlineLevel="0" collapsed="false">
      <c r="A49" s="18"/>
      <c r="B49" s="18"/>
      <c r="C49" s="18"/>
      <c r="D49" s="22"/>
      <c r="E49" s="22"/>
      <c r="F49" s="24" t="str">
        <f aca="false">IF(AND(D49="",E49=""),"",N(E49)-N(D49))</f>
        <v/>
      </c>
      <c r="G49" s="20" t="str">
        <f aca="false">IF(AND(A49="",B49="",E49=""),"",IF(OR(A49="",B49="",E49=""),"Revisar","OK"))</f>
        <v/>
      </c>
    </row>
    <row r="50" customFormat="false" ht="15" hidden="false" customHeight="false" outlineLevel="0" collapsed="false">
      <c r="A50" s="18"/>
      <c r="B50" s="18"/>
      <c r="C50" s="18"/>
      <c r="D50" s="22"/>
      <c r="E50" s="22"/>
      <c r="F50" s="24" t="str">
        <f aca="false">IF(AND(D50="",E50=""),"",N(E50)-N(D50))</f>
        <v/>
      </c>
      <c r="G50" s="20" t="str">
        <f aca="false">IF(AND(A50="",B50="",E50=""),"",IF(OR(A50="",B50="",E50=""),"Revisar","OK"))</f>
        <v/>
      </c>
    </row>
    <row r="51" customFormat="false" ht="15" hidden="false" customHeight="false" outlineLevel="0" collapsed="false">
      <c r="A51" s="18"/>
      <c r="B51" s="18"/>
      <c r="C51" s="18"/>
      <c r="D51" s="22"/>
      <c r="E51" s="22"/>
      <c r="F51" s="24" t="str">
        <f aca="false">IF(AND(D51="",E51=""),"",N(E51)-N(D51))</f>
        <v/>
      </c>
      <c r="G51" s="20" t="str">
        <f aca="false">IF(AND(A51="",B51="",E51=""),"",IF(OR(A51="",B51="",E51=""),"Revisar","OK"))</f>
        <v/>
      </c>
    </row>
    <row r="52" customFormat="false" ht="15" hidden="false" customHeight="false" outlineLevel="0" collapsed="false">
      <c r="A52" s="18"/>
      <c r="B52" s="18"/>
      <c r="C52" s="18"/>
      <c r="D52" s="22"/>
      <c r="E52" s="22"/>
      <c r="F52" s="24" t="str">
        <f aca="false">IF(AND(D52="",E52=""),"",N(E52)-N(D52))</f>
        <v/>
      </c>
      <c r="G52" s="20" t="str">
        <f aca="false">IF(AND(A52="",B52="",E52=""),"",IF(OR(A52="",B52="",E52=""),"Revisar","OK"))</f>
        <v/>
      </c>
    </row>
    <row r="53" customFormat="false" ht="15" hidden="false" customHeight="false" outlineLevel="0" collapsed="false">
      <c r="A53" s="18"/>
      <c r="B53" s="18"/>
      <c r="C53" s="18"/>
      <c r="D53" s="22"/>
      <c r="E53" s="22"/>
      <c r="F53" s="24" t="str">
        <f aca="false">IF(AND(D53="",E53=""),"",N(E53)-N(D53))</f>
        <v/>
      </c>
      <c r="G53" s="20" t="str">
        <f aca="false">IF(AND(A53="",B53="",E53=""),"",IF(OR(A53="",B53="",E53=""),"Revisar","OK"))</f>
        <v/>
      </c>
    </row>
    <row r="54" customFormat="false" ht="15" hidden="false" customHeight="false" outlineLevel="0" collapsed="false">
      <c r="A54" s="18"/>
      <c r="B54" s="18"/>
      <c r="C54" s="18"/>
      <c r="D54" s="22"/>
      <c r="E54" s="22"/>
      <c r="F54" s="24" t="str">
        <f aca="false">IF(AND(D54="",E54=""),"",N(E54)-N(D54))</f>
        <v/>
      </c>
      <c r="G54" s="20" t="str">
        <f aca="false">IF(AND(A54="",B54="",E54=""),"",IF(OR(A54="",B54="",E54=""),"Revisar","OK"))</f>
        <v/>
      </c>
    </row>
    <row r="55" customFormat="false" ht="15" hidden="false" customHeight="false" outlineLevel="0" collapsed="false">
      <c r="A55" s="18"/>
      <c r="B55" s="18"/>
      <c r="C55" s="18"/>
      <c r="D55" s="22"/>
      <c r="E55" s="22"/>
      <c r="F55" s="24" t="str">
        <f aca="false">IF(AND(D55="",E55=""),"",N(E55)-N(D55))</f>
        <v/>
      </c>
      <c r="G55" s="20" t="str">
        <f aca="false">IF(AND(A55="",B55="",E55=""),"",IF(OR(A55="",B55="",E55=""),"Revisar","OK"))</f>
        <v/>
      </c>
    </row>
    <row r="56" customFormat="false" ht="15" hidden="false" customHeight="false" outlineLevel="0" collapsed="false">
      <c r="A56" s="18"/>
      <c r="B56" s="18"/>
      <c r="C56" s="18"/>
      <c r="D56" s="22"/>
      <c r="E56" s="22"/>
      <c r="F56" s="24" t="str">
        <f aca="false">IF(AND(D56="",E56=""),"",N(E56)-N(D56))</f>
        <v/>
      </c>
      <c r="G56" s="20" t="str">
        <f aca="false">IF(AND(A56="",B56="",E56=""),"",IF(OR(A56="",B56="",E56=""),"Revisar","OK"))</f>
        <v/>
      </c>
    </row>
    <row r="57" customFormat="false" ht="15" hidden="false" customHeight="false" outlineLevel="0" collapsed="false">
      <c r="A57" s="18"/>
      <c r="B57" s="18"/>
      <c r="C57" s="18"/>
      <c r="D57" s="22"/>
      <c r="E57" s="22"/>
      <c r="F57" s="24" t="str">
        <f aca="false">IF(AND(D57="",E57=""),"",N(E57)-N(D57))</f>
        <v/>
      </c>
      <c r="G57" s="20" t="str">
        <f aca="false">IF(AND(A57="",B57="",E57=""),"",IF(OR(A57="",B57="",E57=""),"Revisar","OK"))</f>
        <v/>
      </c>
    </row>
    <row r="58" customFormat="false" ht="15" hidden="false" customHeight="false" outlineLevel="0" collapsed="false">
      <c r="A58" s="18"/>
      <c r="B58" s="18"/>
      <c r="C58" s="18"/>
      <c r="D58" s="22"/>
      <c r="E58" s="22"/>
      <c r="F58" s="24" t="str">
        <f aca="false">IF(AND(D58="",E58=""),"",N(E58)-N(D58))</f>
        <v/>
      </c>
      <c r="G58" s="20" t="str">
        <f aca="false">IF(AND(A58="",B58="",E58=""),"",IF(OR(A58="",B58="",E58=""),"Revisar","OK"))</f>
        <v/>
      </c>
    </row>
    <row r="59" customFormat="false" ht="15" hidden="false" customHeight="false" outlineLevel="0" collapsed="false">
      <c r="A59" s="18"/>
      <c r="B59" s="18"/>
      <c r="C59" s="18"/>
      <c r="D59" s="22"/>
      <c r="E59" s="22"/>
      <c r="F59" s="24" t="str">
        <f aca="false">IF(AND(D59="",E59=""),"",N(E59)-N(D59))</f>
        <v/>
      </c>
      <c r="G59" s="20" t="str">
        <f aca="false">IF(AND(A59="",B59="",E59=""),"",IF(OR(A59="",B59="",E59=""),"Revisar","OK"))</f>
        <v/>
      </c>
    </row>
    <row r="60" customFormat="false" ht="15" hidden="false" customHeight="false" outlineLevel="0" collapsed="false">
      <c r="A60" s="18"/>
      <c r="B60" s="18"/>
      <c r="C60" s="18"/>
      <c r="D60" s="22"/>
      <c r="E60" s="22"/>
      <c r="F60" s="24" t="str">
        <f aca="false">IF(AND(D60="",E60=""),"",N(E60)-N(D60))</f>
        <v/>
      </c>
      <c r="G60" s="20" t="str">
        <f aca="false">IF(AND(A60="",B60="",E60=""),"",IF(OR(A60="",B60="",E60=""),"Revisar","OK"))</f>
        <v/>
      </c>
    </row>
    <row r="61" customFormat="false" ht="15" hidden="false" customHeight="false" outlineLevel="0" collapsed="false">
      <c r="A61" s="18"/>
      <c r="B61" s="18"/>
      <c r="C61" s="18"/>
      <c r="D61" s="22"/>
      <c r="E61" s="22"/>
      <c r="F61" s="24" t="str">
        <f aca="false">IF(AND(D61="",E61=""),"",N(E61)-N(D61))</f>
        <v/>
      </c>
      <c r="G61" s="20" t="str">
        <f aca="false">IF(AND(A61="",B61="",E61=""),"",IF(OR(A61="",B61="",E61=""),"Revisar","OK"))</f>
        <v/>
      </c>
    </row>
    <row r="62" customFormat="false" ht="15" hidden="false" customHeight="false" outlineLevel="0" collapsed="false">
      <c r="A62" s="18"/>
      <c r="B62" s="18"/>
      <c r="C62" s="18"/>
      <c r="D62" s="22"/>
      <c r="E62" s="22"/>
      <c r="F62" s="24" t="str">
        <f aca="false">IF(AND(D62="",E62=""),"",N(E62)-N(D62))</f>
        <v/>
      </c>
      <c r="G62" s="20" t="str">
        <f aca="false">IF(AND(A62="",B62="",E62=""),"",IF(OR(A62="",B62="",E62=""),"Revisar","OK"))</f>
        <v/>
      </c>
    </row>
    <row r="63" customFormat="false" ht="15" hidden="false" customHeight="false" outlineLevel="0" collapsed="false">
      <c r="A63" s="18"/>
      <c r="B63" s="18"/>
      <c r="C63" s="18"/>
      <c r="D63" s="22"/>
      <c r="E63" s="22"/>
      <c r="F63" s="24" t="str">
        <f aca="false">IF(AND(D63="",E63=""),"",N(E63)-N(D63))</f>
        <v/>
      </c>
      <c r="G63" s="20" t="str">
        <f aca="false">IF(AND(A63="",B63="",E63=""),"",IF(OR(A63="",B63="",E63=""),"Revisar","OK"))</f>
        <v/>
      </c>
    </row>
    <row r="64" customFormat="false" ht="15" hidden="false" customHeight="false" outlineLevel="0" collapsed="false">
      <c r="A64" s="18"/>
      <c r="B64" s="18"/>
      <c r="C64" s="18"/>
      <c r="D64" s="22"/>
      <c r="E64" s="22"/>
      <c r="F64" s="24" t="str">
        <f aca="false">IF(AND(D64="",E64=""),"",N(E64)-N(D64))</f>
        <v/>
      </c>
      <c r="G64" s="20" t="str">
        <f aca="false">IF(AND(A64="",B64="",E64=""),"",IF(OR(A64="",B64="",E64=""),"Revisar","OK"))</f>
        <v/>
      </c>
    </row>
    <row r="65" customFormat="false" ht="15" hidden="false" customHeight="false" outlineLevel="0" collapsed="false">
      <c r="A65" s="18"/>
      <c r="B65" s="18"/>
      <c r="C65" s="18"/>
      <c r="D65" s="22"/>
      <c r="E65" s="22"/>
      <c r="F65" s="24" t="str">
        <f aca="false">IF(AND(D65="",E65=""),"",N(E65)-N(D65))</f>
        <v/>
      </c>
      <c r="G65" s="20" t="str">
        <f aca="false">IF(AND(A65="",B65="",E65=""),"",IF(OR(A65="",B65="",E65=""),"Revisar","OK"))</f>
        <v/>
      </c>
    </row>
  </sheetData>
  <conditionalFormatting sqref="G6:G6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conditionalFormatting sqref="F6:F65">
    <cfRule type="cellIs" priority="15" operator="lessThan" aboveAverage="0" equalAverage="0" bottom="0" percent="0" rank="0" text="" dxfId="4">
      <formula>0</formula>
    </cfRule>
  </conditionalFormatting>
  <dataValidations count="2">
    <dataValidation allowBlank="true" error="Informe um valor numérico maior ou igual a zero." errorStyle="stop" errorTitle="Valor inválido" operator="greaterThanOrEqual" showDropDown="false" showErrorMessage="true" showInputMessage="false" sqref="D6:E65" type="decimal">
      <formula1>0</formula1>
      <formula2>0</formula2>
    </dataValidation>
    <dataValidation allowBlank="true" error="Escolha um item da lista." errorStyle="stop" errorTitle="Valor inválido" operator="between" showDropDown="false" showErrorMessage="true" showInputMessage="false" sqref="A6:A65" type="list">
      <formula1>Listas!$G$5:$G$13</formula1>
      <formula2>0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106</v>
      </c>
    </row>
    <row r="3" customFormat="false" ht="15" hidden="false" customHeight="false" outlineLevel="0" collapsed="false">
      <c r="A3" s="12" t="s">
        <v>107</v>
      </c>
    </row>
    <row r="5" customFormat="false" ht="33.75" hidden="false" customHeight="true" outlineLevel="0" collapsed="false">
      <c r="A5" s="4" t="s">
        <v>108</v>
      </c>
      <c r="B5" s="4" t="s">
        <v>96</v>
      </c>
      <c r="C5" s="4" t="s">
        <v>109</v>
      </c>
      <c r="D5" s="4" t="s">
        <v>110</v>
      </c>
      <c r="E5" s="4" t="s">
        <v>100</v>
      </c>
      <c r="F5" s="4" t="s">
        <v>51</v>
      </c>
    </row>
    <row r="6" customFormat="false" ht="15" hidden="false" customHeight="false" outlineLevel="0" collapsed="false">
      <c r="A6" s="18" t="s">
        <v>111</v>
      </c>
      <c r="B6" s="18" t="s">
        <v>112</v>
      </c>
      <c r="C6" s="22" t="n">
        <v>15000</v>
      </c>
      <c r="D6" s="22" t="n">
        <v>11000</v>
      </c>
      <c r="E6" s="24" t="n">
        <f aca="false">IF(AND(C6="",D6=""),"",N(D6)-N(C6))</f>
        <v>-4000</v>
      </c>
      <c r="F6" s="20" t="str">
        <f aca="false">IF(AND(A6="",C6="",D6=""),"",IF(OR(A6="",D6=""),"Revisar","OK"))</f>
        <v>OK</v>
      </c>
    </row>
    <row r="7" customFormat="false" ht="15" hidden="false" customHeight="false" outlineLevel="0" collapsed="false">
      <c r="A7" s="18"/>
      <c r="B7" s="18"/>
      <c r="C7" s="22"/>
      <c r="D7" s="22"/>
      <c r="E7" s="24" t="str">
        <f aca="false">IF(AND(C7="",D7=""),"",N(D7)-N(C7))</f>
        <v/>
      </c>
      <c r="F7" s="20" t="str">
        <f aca="false">IF(AND(A7="",C7="",D7=""),"",IF(OR(A7="",D7=""),"Revisar","OK"))</f>
        <v/>
      </c>
    </row>
    <row r="8" customFormat="false" ht="15" hidden="false" customHeight="false" outlineLevel="0" collapsed="false">
      <c r="A8" s="18"/>
      <c r="B8" s="18"/>
      <c r="C8" s="22"/>
      <c r="D8" s="22"/>
      <c r="E8" s="24" t="str">
        <f aca="false">IF(AND(C8="",D8=""),"",N(D8)-N(C8))</f>
        <v/>
      </c>
      <c r="F8" s="20" t="str">
        <f aca="false">IF(AND(A8="",C8="",D8=""),"",IF(OR(A8="",D8=""),"Revisar","OK"))</f>
        <v/>
      </c>
    </row>
    <row r="9" customFormat="false" ht="15" hidden="false" customHeight="false" outlineLevel="0" collapsed="false">
      <c r="A9" s="18"/>
      <c r="B9" s="18"/>
      <c r="C9" s="22"/>
      <c r="D9" s="22"/>
      <c r="E9" s="24" t="str">
        <f aca="false">IF(AND(C9="",D9=""),"",N(D9)-N(C9))</f>
        <v/>
      </c>
      <c r="F9" s="20" t="str">
        <f aca="false">IF(AND(A9="",C9="",D9=""),"",IF(OR(A9="",D9=""),"Revisar","OK"))</f>
        <v/>
      </c>
    </row>
    <row r="10" customFormat="false" ht="15" hidden="false" customHeight="false" outlineLevel="0" collapsed="false">
      <c r="A10" s="18"/>
      <c r="B10" s="18"/>
      <c r="C10" s="22"/>
      <c r="D10" s="22"/>
      <c r="E10" s="24" t="str">
        <f aca="false">IF(AND(C10="",D10=""),"",N(D10)-N(C10))</f>
        <v/>
      </c>
      <c r="F10" s="20" t="str">
        <f aca="false">IF(AND(A10="",C10="",D10=""),"",IF(OR(A10="",D10=""),"Revisar","OK"))</f>
        <v/>
      </c>
    </row>
    <row r="11" customFormat="false" ht="15" hidden="false" customHeight="false" outlineLevel="0" collapsed="false">
      <c r="A11" s="18"/>
      <c r="B11" s="18"/>
      <c r="C11" s="22"/>
      <c r="D11" s="22"/>
      <c r="E11" s="24" t="str">
        <f aca="false">IF(AND(C11="",D11=""),"",N(D11)-N(C11))</f>
        <v/>
      </c>
      <c r="F11" s="20" t="str">
        <f aca="false">IF(AND(A11="",C11="",D11=""),"",IF(OR(A11="",D11=""),"Revisar","OK"))</f>
        <v/>
      </c>
    </row>
    <row r="12" customFormat="false" ht="15" hidden="false" customHeight="false" outlineLevel="0" collapsed="false">
      <c r="A12" s="18"/>
      <c r="B12" s="18"/>
      <c r="C12" s="22"/>
      <c r="D12" s="22"/>
      <c r="E12" s="24" t="str">
        <f aca="false">IF(AND(C12="",D12=""),"",N(D12)-N(C12))</f>
        <v/>
      </c>
      <c r="F12" s="20" t="str">
        <f aca="false">IF(AND(A12="",C12="",D12=""),"",IF(OR(A12="",D12=""),"Revisar","OK"))</f>
        <v/>
      </c>
    </row>
    <row r="13" customFormat="false" ht="15" hidden="false" customHeight="false" outlineLevel="0" collapsed="false">
      <c r="A13" s="18"/>
      <c r="B13" s="18"/>
      <c r="C13" s="22"/>
      <c r="D13" s="22"/>
      <c r="E13" s="24" t="str">
        <f aca="false">IF(AND(C13="",D13=""),"",N(D13)-N(C13))</f>
        <v/>
      </c>
      <c r="F13" s="20" t="str">
        <f aca="false">IF(AND(A13="",C13="",D13=""),"",IF(OR(A13="",D13=""),"Revisar","OK"))</f>
        <v/>
      </c>
    </row>
    <row r="14" customFormat="false" ht="15" hidden="false" customHeight="false" outlineLevel="0" collapsed="false">
      <c r="A14" s="18"/>
      <c r="B14" s="18"/>
      <c r="C14" s="22"/>
      <c r="D14" s="22"/>
      <c r="E14" s="24" t="str">
        <f aca="false">IF(AND(C14="",D14=""),"",N(D14)-N(C14))</f>
        <v/>
      </c>
      <c r="F14" s="20" t="str">
        <f aca="false">IF(AND(A14="",C14="",D14=""),"",IF(OR(A14="",D14=""),"Revisar","OK"))</f>
        <v/>
      </c>
    </row>
    <row r="15" customFormat="false" ht="15" hidden="false" customHeight="false" outlineLevel="0" collapsed="false">
      <c r="A15" s="18"/>
      <c r="B15" s="18"/>
      <c r="C15" s="22"/>
      <c r="D15" s="22"/>
      <c r="E15" s="24" t="str">
        <f aca="false">IF(AND(C15="",D15=""),"",N(D15)-N(C15))</f>
        <v/>
      </c>
      <c r="F15" s="20" t="str">
        <f aca="false">IF(AND(A15="",C15="",D15=""),"",IF(OR(A15="",D15=""),"Revisar","OK"))</f>
        <v/>
      </c>
    </row>
    <row r="16" customFormat="false" ht="15" hidden="false" customHeight="false" outlineLevel="0" collapsed="false">
      <c r="A16" s="18"/>
      <c r="B16" s="18"/>
      <c r="C16" s="22"/>
      <c r="D16" s="22"/>
      <c r="E16" s="24" t="str">
        <f aca="false">IF(AND(C16="",D16=""),"",N(D16)-N(C16))</f>
        <v/>
      </c>
      <c r="F16" s="20" t="str">
        <f aca="false">IF(AND(A16="",C16="",D16=""),"",IF(OR(A16="",D16=""),"Revisar","OK"))</f>
        <v/>
      </c>
    </row>
    <row r="17" customFormat="false" ht="15" hidden="false" customHeight="false" outlineLevel="0" collapsed="false">
      <c r="A17" s="18"/>
      <c r="B17" s="18"/>
      <c r="C17" s="22"/>
      <c r="D17" s="22"/>
      <c r="E17" s="24" t="str">
        <f aca="false">IF(AND(C17="",D17=""),"",N(D17)-N(C17))</f>
        <v/>
      </c>
      <c r="F17" s="20" t="str">
        <f aca="false">IF(AND(A17="",C17="",D17=""),"",IF(OR(A17="",D17=""),"Revisar","OK"))</f>
        <v/>
      </c>
    </row>
    <row r="18" customFormat="false" ht="15" hidden="false" customHeight="false" outlineLevel="0" collapsed="false">
      <c r="A18" s="18"/>
      <c r="B18" s="18"/>
      <c r="C18" s="22"/>
      <c r="D18" s="22"/>
      <c r="E18" s="24" t="str">
        <f aca="false">IF(AND(C18="",D18=""),"",N(D18)-N(C18))</f>
        <v/>
      </c>
      <c r="F18" s="20" t="str">
        <f aca="false">IF(AND(A18="",C18="",D18=""),"",IF(OR(A18="",D18=""),"Revisar","OK"))</f>
        <v/>
      </c>
    </row>
    <row r="19" customFormat="false" ht="15" hidden="false" customHeight="false" outlineLevel="0" collapsed="false">
      <c r="A19" s="18"/>
      <c r="B19" s="18"/>
      <c r="C19" s="22"/>
      <c r="D19" s="22"/>
      <c r="E19" s="24" t="str">
        <f aca="false">IF(AND(C19="",D19=""),"",N(D19)-N(C19))</f>
        <v/>
      </c>
      <c r="F19" s="20" t="str">
        <f aca="false">IF(AND(A19="",C19="",D19=""),"",IF(OR(A19="",D19=""),"Revisar","OK"))</f>
        <v/>
      </c>
    </row>
    <row r="20" customFormat="false" ht="15" hidden="false" customHeight="false" outlineLevel="0" collapsed="false">
      <c r="A20" s="18"/>
      <c r="B20" s="18"/>
      <c r="C20" s="22"/>
      <c r="D20" s="22"/>
      <c r="E20" s="24" t="str">
        <f aca="false">IF(AND(C20="",D20=""),"",N(D20)-N(C20))</f>
        <v/>
      </c>
      <c r="F20" s="20" t="str">
        <f aca="false">IF(AND(A20="",C20="",D20=""),"",IF(OR(A20="",D20=""),"Revisar","OK"))</f>
        <v/>
      </c>
    </row>
    <row r="21" customFormat="false" ht="15" hidden="false" customHeight="false" outlineLevel="0" collapsed="false">
      <c r="A21" s="18"/>
      <c r="B21" s="18"/>
      <c r="C21" s="22"/>
      <c r="D21" s="22"/>
      <c r="E21" s="24" t="str">
        <f aca="false">IF(AND(C21="",D21=""),"",N(D21)-N(C21))</f>
        <v/>
      </c>
      <c r="F21" s="20" t="str">
        <f aca="false">IF(AND(A21="",C21="",D21=""),"",IF(OR(A21="",D21=""),"Revisar","OK"))</f>
        <v/>
      </c>
    </row>
    <row r="22" customFormat="false" ht="15" hidden="false" customHeight="false" outlineLevel="0" collapsed="false">
      <c r="A22" s="18"/>
      <c r="B22" s="18"/>
      <c r="C22" s="22"/>
      <c r="D22" s="22"/>
      <c r="E22" s="24" t="str">
        <f aca="false">IF(AND(C22="",D22=""),"",N(D22)-N(C22))</f>
        <v/>
      </c>
      <c r="F22" s="20" t="str">
        <f aca="false">IF(AND(A22="",C22="",D22=""),"",IF(OR(A22="",D22=""),"Revisar","OK"))</f>
        <v/>
      </c>
    </row>
    <row r="23" customFormat="false" ht="15" hidden="false" customHeight="false" outlineLevel="0" collapsed="false">
      <c r="A23" s="18"/>
      <c r="B23" s="18"/>
      <c r="C23" s="22"/>
      <c r="D23" s="22"/>
      <c r="E23" s="24" t="str">
        <f aca="false">IF(AND(C23="",D23=""),"",N(D23)-N(C23))</f>
        <v/>
      </c>
      <c r="F23" s="20" t="str">
        <f aca="false">IF(AND(A23="",C23="",D23=""),"",IF(OR(A23="",D23=""),"Revisar","OK"))</f>
        <v/>
      </c>
    </row>
    <row r="24" customFormat="false" ht="15" hidden="false" customHeight="false" outlineLevel="0" collapsed="false">
      <c r="A24" s="18"/>
      <c r="B24" s="18"/>
      <c r="C24" s="22"/>
      <c r="D24" s="22"/>
      <c r="E24" s="24" t="str">
        <f aca="false">IF(AND(C24="",D24=""),"",N(D24)-N(C24))</f>
        <v/>
      </c>
      <c r="F24" s="20" t="str">
        <f aca="false">IF(AND(A24="",C24="",D24=""),"",IF(OR(A24="",D24=""),"Revisar","OK"))</f>
        <v/>
      </c>
    </row>
    <row r="25" customFormat="false" ht="15" hidden="false" customHeight="false" outlineLevel="0" collapsed="false">
      <c r="A25" s="18"/>
      <c r="B25" s="18"/>
      <c r="C25" s="22"/>
      <c r="D25" s="22"/>
      <c r="E25" s="24" t="str">
        <f aca="false">IF(AND(C25="",D25=""),"",N(D25)-N(C25))</f>
        <v/>
      </c>
      <c r="F25" s="20" t="str">
        <f aca="false">IF(AND(A25="",C25="",D25=""),"",IF(OR(A25="",D25=""),"Revisar","OK"))</f>
        <v/>
      </c>
    </row>
    <row r="26" customFormat="false" ht="15" hidden="false" customHeight="false" outlineLevel="0" collapsed="false">
      <c r="A26" s="18"/>
      <c r="B26" s="18"/>
      <c r="C26" s="22"/>
      <c r="D26" s="22"/>
      <c r="E26" s="24" t="str">
        <f aca="false">IF(AND(C26="",D26=""),"",N(D26)-N(C26))</f>
        <v/>
      </c>
      <c r="F26" s="20" t="str">
        <f aca="false">IF(AND(A26="",C26="",D26=""),"",IF(OR(A26="",D26=""),"Revisar","OK"))</f>
        <v/>
      </c>
    </row>
    <row r="27" customFormat="false" ht="15" hidden="false" customHeight="false" outlineLevel="0" collapsed="false">
      <c r="A27" s="18"/>
      <c r="B27" s="18"/>
      <c r="C27" s="22"/>
      <c r="D27" s="22"/>
      <c r="E27" s="24" t="str">
        <f aca="false">IF(AND(C27="",D27=""),"",N(D27)-N(C27))</f>
        <v/>
      </c>
      <c r="F27" s="20" t="str">
        <f aca="false">IF(AND(A27="",C27="",D27=""),"",IF(OR(A27="",D27=""),"Revisar","OK"))</f>
        <v/>
      </c>
    </row>
    <row r="28" customFormat="false" ht="15" hidden="false" customHeight="false" outlineLevel="0" collapsed="false">
      <c r="A28" s="18"/>
      <c r="B28" s="18"/>
      <c r="C28" s="22"/>
      <c r="D28" s="22"/>
      <c r="E28" s="24" t="str">
        <f aca="false">IF(AND(C28="",D28=""),"",N(D28)-N(C28))</f>
        <v/>
      </c>
      <c r="F28" s="20" t="str">
        <f aca="false">IF(AND(A28="",C28="",D28=""),"",IF(OR(A28="",D28=""),"Revisar","OK"))</f>
        <v/>
      </c>
    </row>
    <row r="29" customFormat="false" ht="15" hidden="false" customHeight="false" outlineLevel="0" collapsed="false">
      <c r="A29" s="18"/>
      <c r="B29" s="18"/>
      <c r="C29" s="22"/>
      <c r="D29" s="22"/>
      <c r="E29" s="24" t="str">
        <f aca="false">IF(AND(C29="",D29=""),"",N(D29)-N(C29))</f>
        <v/>
      </c>
      <c r="F29" s="20" t="str">
        <f aca="false">IF(AND(A29="",C29="",D29=""),"",IF(OR(A29="",D29=""),"Revisar","OK"))</f>
        <v/>
      </c>
    </row>
    <row r="30" customFormat="false" ht="15" hidden="false" customHeight="false" outlineLevel="0" collapsed="false">
      <c r="A30" s="18"/>
      <c r="B30" s="18"/>
      <c r="C30" s="22"/>
      <c r="D30" s="22"/>
      <c r="E30" s="24" t="str">
        <f aca="false">IF(AND(C30="",D30=""),"",N(D30)-N(C30))</f>
        <v/>
      </c>
      <c r="F30" s="20" t="str">
        <f aca="false">IF(AND(A30="",C30="",D30=""),"",IF(OR(A30="",D30=""),"Revisar","OK"))</f>
        <v/>
      </c>
    </row>
    <row r="31" customFormat="false" ht="15" hidden="false" customHeight="false" outlineLevel="0" collapsed="false">
      <c r="A31" s="18"/>
      <c r="B31" s="18"/>
      <c r="C31" s="22"/>
      <c r="D31" s="22"/>
      <c r="E31" s="24" t="str">
        <f aca="false">IF(AND(C31="",D31=""),"",N(D31)-N(C31))</f>
        <v/>
      </c>
      <c r="F31" s="20" t="str">
        <f aca="false">IF(AND(A31="",C31="",D31=""),"",IF(OR(A31="",D31=""),"Revisar","OK"))</f>
        <v/>
      </c>
    </row>
    <row r="32" customFormat="false" ht="15" hidden="false" customHeight="false" outlineLevel="0" collapsed="false">
      <c r="A32" s="18"/>
      <c r="B32" s="18"/>
      <c r="C32" s="22"/>
      <c r="D32" s="22"/>
      <c r="E32" s="24" t="str">
        <f aca="false">IF(AND(C32="",D32=""),"",N(D32)-N(C32))</f>
        <v/>
      </c>
      <c r="F32" s="20" t="str">
        <f aca="false">IF(AND(A32="",C32="",D32=""),"",IF(OR(A32="",D32=""),"Revisar","OK"))</f>
        <v/>
      </c>
    </row>
    <row r="33" customFormat="false" ht="15" hidden="false" customHeight="false" outlineLevel="0" collapsed="false">
      <c r="A33" s="18"/>
      <c r="B33" s="18"/>
      <c r="C33" s="22"/>
      <c r="D33" s="22"/>
      <c r="E33" s="24" t="str">
        <f aca="false">IF(AND(C33="",D33=""),"",N(D33)-N(C33))</f>
        <v/>
      </c>
      <c r="F33" s="20" t="str">
        <f aca="false">IF(AND(A33="",C33="",D33=""),"",IF(OR(A33="",D33=""),"Revisar","OK"))</f>
        <v/>
      </c>
    </row>
    <row r="34" customFormat="false" ht="15" hidden="false" customHeight="false" outlineLevel="0" collapsed="false">
      <c r="A34" s="18"/>
      <c r="B34" s="18"/>
      <c r="C34" s="22"/>
      <c r="D34" s="22"/>
      <c r="E34" s="24" t="str">
        <f aca="false">IF(AND(C34="",D34=""),"",N(D34)-N(C34))</f>
        <v/>
      </c>
      <c r="F34" s="20" t="str">
        <f aca="false">IF(AND(A34="",C34="",D34=""),"",IF(OR(A34="",D34=""),"Revisar","OK"))</f>
        <v/>
      </c>
    </row>
    <row r="35" customFormat="false" ht="15" hidden="false" customHeight="false" outlineLevel="0" collapsed="false">
      <c r="A35" s="18"/>
      <c r="B35" s="18"/>
      <c r="C35" s="22"/>
      <c r="D35" s="22"/>
      <c r="E35" s="24" t="str">
        <f aca="false">IF(AND(C35="",D35=""),"",N(D35)-N(C35))</f>
        <v/>
      </c>
      <c r="F35" s="20" t="str">
        <f aca="false">IF(AND(A35="",C35="",D35=""),"",IF(OR(A35="",D35=""),"Revisar","OK"))</f>
        <v/>
      </c>
    </row>
  </sheetData>
  <conditionalFormatting sqref="F6:F3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conditionalFormatting sqref="E6:E35">
    <cfRule type="cellIs" priority="15" operator="lessThan" aboveAverage="0" equalAverage="0" bottom="0" percent="0" rank="0" text="" dxfId="4">
      <formula>0</formula>
    </cfRule>
  </conditionalFormatting>
  <dataValidations count="1">
    <dataValidation allowBlank="true" error="Informe um valor numérico maior ou igual a zero." errorStyle="stop" errorTitle="Valor inválido" operator="greaterThanOrEqual" showDropDown="false" showErrorMessage="true" showInputMessage="false" sqref="C6:D35" type="decimal">
      <formula1>0</formula1>
      <formula2>0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113</v>
      </c>
    </row>
    <row r="3" customFormat="false" ht="15" hidden="false" customHeight="false" outlineLevel="0" collapsed="false">
      <c r="A3" s="12" t="s">
        <v>114</v>
      </c>
    </row>
    <row r="5" customFormat="false" ht="33.75" hidden="false" customHeight="true" outlineLevel="0" collapsed="false">
      <c r="A5" s="4" t="s">
        <v>115</v>
      </c>
      <c r="B5" s="4" t="s">
        <v>116</v>
      </c>
      <c r="C5" s="4" t="s">
        <v>117</v>
      </c>
      <c r="D5" s="4" t="s">
        <v>65</v>
      </c>
      <c r="E5" s="4" t="s">
        <v>51</v>
      </c>
    </row>
    <row r="6" customFormat="false" ht="15" hidden="false" customHeight="false" outlineLevel="0" collapsed="false">
      <c r="A6" s="18" t="s">
        <v>118</v>
      </c>
      <c r="B6" s="23" t="s">
        <v>69</v>
      </c>
      <c r="C6" s="23" t="s">
        <v>69</v>
      </c>
      <c r="D6" s="18"/>
      <c r="E6" s="20" t="str">
        <f aca="false">IF(A6="","",IF(C6="Sim","OK",IF(B6="Sim","Pendente","Opcional")))</f>
        <v>OK</v>
      </c>
    </row>
    <row r="7" customFormat="false" ht="15" hidden="false" customHeight="false" outlineLevel="0" collapsed="false">
      <c r="A7" s="18" t="s">
        <v>119</v>
      </c>
      <c r="B7" s="23" t="s">
        <v>69</v>
      </c>
      <c r="C7" s="23" t="s">
        <v>69</v>
      </c>
      <c r="D7" s="18"/>
      <c r="E7" s="20" t="str">
        <f aca="false">IF(A7="","",IF(C7="Sim","OK",IF(B7="Sim","Pendente","Opcional")))</f>
        <v>OK</v>
      </c>
    </row>
    <row r="8" customFormat="false" ht="15" hidden="false" customHeight="false" outlineLevel="0" collapsed="false">
      <c r="A8" s="18" t="s">
        <v>120</v>
      </c>
      <c r="B8" s="23" t="s">
        <v>75</v>
      </c>
      <c r="C8" s="23" t="s">
        <v>75</v>
      </c>
      <c r="D8" s="18"/>
      <c r="E8" s="20" t="str">
        <f aca="false">IF(A8="","",IF(C8="Sim","OK",IF(B8="Sim","Pendente","Opcional")))</f>
        <v>Opcional</v>
      </c>
    </row>
    <row r="9" customFormat="false" ht="15" hidden="false" customHeight="false" outlineLevel="0" collapsed="false">
      <c r="A9" s="18" t="s">
        <v>121</v>
      </c>
      <c r="B9" s="23" t="s">
        <v>75</v>
      </c>
      <c r="C9" s="23" t="s">
        <v>75</v>
      </c>
      <c r="D9" s="18"/>
      <c r="E9" s="20" t="str">
        <f aca="false">IF(A9="","",IF(C9="Sim","OK",IF(B9="Sim","Pendente","Opcional")))</f>
        <v>Opcional</v>
      </c>
    </row>
    <row r="10" customFormat="false" ht="15" hidden="false" customHeight="false" outlineLevel="0" collapsed="false">
      <c r="A10" s="18" t="s">
        <v>122</v>
      </c>
      <c r="B10" s="23" t="s">
        <v>75</v>
      </c>
      <c r="C10" s="23" t="s">
        <v>69</v>
      </c>
      <c r="D10" s="18"/>
      <c r="E10" s="20" t="str">
        <f aca="false">IF(A10="","",IF(C10="Sim","OK",IF(B10="Sim","Pendente","Opcional")))</f>
        <v>OK</v>
      </c>
    </row>
    <row r="11" customFormat="false" ht="15" hidden="false" customHeight="false" outlineLevel="0" collapsed="false">
      <c r="A11" s="18" t="s">
        <v>123</v>
      </c>
      <c r="B11" s="23" t="s">
        <v>75</v>
      </c>
      <c r="C11" s="23" t="s">
        <v>69</v>
      </c>
      <c r="D11" s="18"/>
      <c r="E11" s="20" t="str">
        <f aca="false">IF(A11="","",IF(C11="Sim","OK",IF(B11="Sim","Pendente","Opcional")))</f>
        <v>OK</v>
      </c>
    </row>
    <row r="12" customFormat="false" ht="15" hidden="false" customHeight="false" outlineLevel="0" collapsed="false">
      <c r="A12" s="18" t="s">
        <v>124</v>
      </c>
      <c r="B12" s="23" t="s">
        <v>75</v>
      </c>
      <c r="C12" s="23" t="s">
        <v>75</v>
      </c>
      <c r="D12" s="18"/>
      <c r="E12" s="20" t="str">
        <f aca="false">IF(A12="","",IF(C12="Sim","OK",IF(B12="Sim","Pendente","Opcional")))</f>
        <v>Opcional</v>
      </c>
    </row>
    <row r="13" customFormat="false" ht="15" hidden="false" customHeight="false" outlineLevel="0" collapsed="false">
      <c r="A13" s="18" t="s">
        <v>125</v>
      </c>
      <c r="B13" s="23" t="s">
        <v>75</v>
      </c>
      <c r="C13" s="23" t="s">
        <v>75</v>
      </c>
      <c r="D13" s="18"/>
      <c r="E13" s="20" t="str">
        <f aca="false">IF(A13="","",IF(C13="Sim","OK",IF(B13="Sim","Pendente","Opcional")))</f>
        <v>Opcional</v>
      </c>
    </row>
    <row r="14" customFormat="false" ht="15" hidden="false" customHeight="false" outlineLevel="0" collapsed="false">
      <c r="A14" s="18" t="s">
        <v>126</v>
      </c>
      <c r="B14" s="23" t="s">
        <v>69</v>
      </c>
      <c r="C14" s="23" t="s">
        <v>69</v>
      </c>
      <c r="D14" s="18"/>
      <c r="E14" s="20" t="str">
        <f aca="false">IF(A14="","",IF(C14="Sim","OK",IF(B14="Sim","Pendente","Opcional")))</f>
        <v>OK</v>
      </c>
    </row>
    <row r="15" customFormat="false" ht="15" hidden="false" customHeight="false" outlineLevel="0" collapsed="false">
      <c r="A15" s="18" t="s">
        <v>127</v>
      </c>
      <c r="B15" s="23" t="s">
        <v>75</v>
      </c>
      <c r="C15" s="23" t="s">
        <v>69</v>
      </c>
      <c r="D15" s="18"/>
      <c r="E15" s="20" t="str">
        <f aca="false">IF(A15="","",IF(C15="Sim","OK",IF(B15="Sim","Pendente","Opcional")))</f>
        <v>OK</v>
      </c>
    </row>
    <row r="16" customFormat="false" ht="15" hidden="false" customHeight="false" outlineLevel="0" collapsed="false">
      <c r="A16" s="18" t="s">
        <v>128</v>
      </c>
      <c r="B16" s="23" t="s">
        <v>69</v>
      </c>
      <c r="C16" s="23" t="s">
        <v>69</v>
      </c>
      <c r="D16" s="18"/>
      <c r="E16" s="20" t="str">
        <f aca="false">IF(A16="","",IF(C16="Sim","OK",IF(B16="Sim","Pendente","Opcional")))</f>
        <v>OK</v>
      </c>
    </row>
    <row r="17" customFormat="false" ht="15" hidden="false" customHeight="false" outlineLevel="0" collapsed="false">
      <c r="A17" s="18" t="s">
        <v>129</v>
      </c>
      <c r="B17" s="23" t="s">
        <v>75</v>
      </c>
      <c r="C17" s="23" t="s">
        <v>75</v>
      </c>
      <c r="D17" s="18"/>
      <c r="E17" s="20" t="str">
        <f aca="false">IF(A17="","",IF(C17="Sim","OK",IF(B17="Sim","Pendente","Opcional")))</f>
        <v>Opcional</v>
      </c>
    </row>
    <row r="18" customFormat="false" ht="15" hidden="false" customHeight="false" outlineLevel="0" collapsed="false">
      <c r="A18" s="18"/>
      <c r="B18" s="23"/>
      <c r="C18" s="23"/>
      <c r="D18" s="18"/>
      <c r="E18" s="20" t="str">
        <f aca="false">IF(A18="","",IF(C18="Sim","OK",IF(B18="Sim","Pendente","Opcional")))</f>
        <v/>
      </c>
    </row>
    <row r="19" customFormat="false" ht="15" hidden="false" customHeight="false" outlineLevel="0" collapsed="false">
      <c r="A19" s="18"/>
      <c r="B19" s="23"/>
      <c r="C19" s="23"/>
      <c r="D19" s="18"/>
      <c r="E19" s="20" t="str">
        <f aca="false">IF(A19="","",IF(C19="Sim","OK",IF(B19="Sim","Pendente","Opcional")))</f>
        <v/>
      </c>
    </row>
    <row r="20" customFormat="false" ht="15" hidden="false" customHeight="false" outlineLevel="0" collapsed="false">
      <c r="A20" s="18"/>
      <c r="B20" s="23"/>
      <c r="C20" s="23"/>
      <c r="D20" s="18"/>
      <c r="E20" s="20" t="str">
        <f aca="false">IF(A20="","",IF(C20="Sim","OK",IF(B20="Sim","Pendente","Opcional")))</f>
        <v/>
      </c>
    </row>
    <row r="21" customFormat="false" ht="15" hidden="false" customHeight="false" outlineLevel="0" collapsed="false">
      <c r="A21" s="18"/>
      <c r="B21" s="23"/>
      <c r="C21" s="23"/>
      <c r="D21" s="18"/>
      <c r="E21" s="20" t="str">
        <f aca="false">IF(A21="","",IF(C21="Sim","OK",IF(B21="Sim","Pendente","Opcional")))</f>
        <v/>
      </c>
    </row>
    <row r="22" customFormat="false" ht="15" hidden="false" customHeight="false" outlineLevel="0" collapsed="false">
      <c r="A22" s="18"/>
      <c r="B22" s="23"/>
      <c r="C22" s="23"/>
      <c r="D22" s="18"/>
      <c r="E22" s="20" t="str">
        <f aca="false">IF(A22="","",IF(C22="Sim","OK",IF(B22="Sim","Pendente","Opcional")))</f>
        <v/>
      </c>
    </row>
    <row r="23" customFormat="false" ht="15" hidden="false" customHeight="false" outlineLevel="0" collapsed="false">
      <c r="A23" s="18"/>
      <c r="B23" s="23"/>
      <c r="C23" s="23"/>
      <c r="D23" s="18"/>
      <c r="E23" s="20" t="str">
        <f aca="false">IF(A23="","",IF(C23="Sim","OK",IF(B23="Sim","Pendente","Opcional")))</f>
        <v/>
      </c>
    </row>
    <row r="24" customFormat="false" ht="15" hidden="false" customHeight="false" outlineLevel="0" collapsed="false">
      <c r="A24" s="18"/>
      <c r="B24" s="23"/>
      <c r="C24" s="23"/>
      <c r="D24" s="18"/>
      <c r="E24" s="20" t="str">
        <f aca="false">IF(A24="","",IF(C24="Sim","OK",IF(B24="Sim","Pendente","Opcional")))</f>
        <v/>
      </c>
    </row>
    <row r="25" customFormat="false" ht="15" hidden="false" customHeight="false" outlineLevel="0" collapsed="false">
      <c r="A25" s="18"/>
      <c r="B25" s="23"/>
      <c r="C25" s="23"/>
      <c r="D25" s="18"/>
      <c r="E25" s="20" t="str">
        <f aca="false">IF(A25="","",IF(C25="Sim","OK",IF(B25="Sim","Pendente","Opcional")))</f>
        <v/>
      </c>
    </row>
  </sheetData>
  <conditionalFormatting sqref="E6:E25">
    <cfRule type="cellIs" priority="2" operator="equal" aboveAverage="0" equalAverage="0" bottom="0" percent="0" rank="0" text="" dxfId="1">
      <formula>"OK"</formula>
    </cfRule>
    <cfRule type="cellIs" priority="3" operator="equal" aboveAverage="0" equalAverage="0" bottom="0" percent="0" rank="0" text="" dxfId="0">
      <formula>"Revisar"</formula>
    </cfRule>
    <cfRule type="cellIs" priority="4" operator="equal" aboveAverage="0" equalAverage="0" bottom="0" percent="0" rank="0" text="" dxfId="2">
      <formula>"Falta informe"</formula>
    </cfRule>
    <cfRule type="cellIs" priority="5" operator="equal" aboveAverage="0" equalAverage="0" bottom="0" percent="0" rank="0" text="" dxfId="2">
      <formula>"Falta comprovante"</formula>
    </cfRule>
    <cfRule type="cellIs" priority="6" operator="equal" aboveAverage="0" equalAverage="0" bottom="0" percent="0" rank="0" text="" dxfId="2">
      <formula>"Acima do limite"</formula>
    </cfRule>
    <cfRule type="cellIs" priority="7" operator="equal" aboveAverage="0" equalAverage="0" bottom="0" percent="0" rank="0" text="" dxfId="0">
      <formula>"Pendente"</formula>
    </cfRule>
    <cfRule type="cellIs" priority="8" operator="equal" aboveAverage="0" equalAverage="0" bottom="0" percent="0" rank="0" text="" dxfId="2">
      <formula>"Aviso"</formula>
    </cfRule>
    <cfRule type="cellIs" priority="9" operator="equal" aboveAverage="0" equalAverage="0" bottom="0" percent="0" rank="0" text="" dxfId="3">
      <formula>"Opcional"</formula>
    </cfRule>
    <cfRule type="cellIs" priority="10" operator="equal" aboveAverage="0" equalAverage="0" bottom="0" percent="0" rank="0" text="" dxfId="1">
      <formula>"Sim"</formula>
    </cfRule>
    <cfRule type="cellIs" priority="11" operator="equal" aboveAverage="0" equalAverage="0" bottom="0" percent="0" rank="0" text="" dxfId="0">
      <formula>"Não"</formula>
    </cfRule>
    <cfRule type="cellIs" priority="12" operator="equal" aboveAverage="0" equalAverage="0" bottom="0" percent="0" rank="0" text="" dxfId="1">
      <formula>"CPF válido"</formula>
    </cfRule>
    <cfRule type="cellIs" priority="13" operator="equal" aboveAverage="0" equalAverage="0" bottom="0" percent="0" rank="0" text="" dxfId="0">
      <formula>"CPF inválido"</formula>
    </cfRule>
    <cfRule type="cellIs" priority="14" operator="equal" aboveAverage="0" equalAverage="0" bottom="0" percent="0" rank="0" text="" dxfId="2">
      <formula>"Preencher"</formula>
    </cfRule>
  </conditionalFormatting>
  <dataValidations count="1">
    <dataValidation allowBlank="true" error="Escolha um item da lista." errorStyle="stop" errorTitle="Valor inválido" operator="between" showDropDown="false" showErrorMessage="true" showInputMessage="false" sqref="B6:C25" type="list">
      <formula1>Listas!$I$5:$I$6</formula1>
      <formula2>0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4" min="3" style="0" width="22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130</v>
      </c>
    </row>
    <row r="3" customFormat="false" ht="15" hidden="false" customHeight="false" outlineLevel="0" collapsed="false">
      <c r="A3" s="12" t="s">
        <v>131</v>
      </c>
    </row>
    <row r="5" customFormat="false" ht="15" hidden="false" customHeight="false" outlineLevel="0" collapsed="false">
      <c r="A5" s="25" t="s">
        <v>132</v>
      </c>
      <c r="B5" s="25"/>
      <c r="C5" s="25"/>
    </row>
    <row r="6" customFormat="false" ht="15" hidden="false" customHeight="false" outlineLevel="0" collapsed="false">
      <c r="A6" s="6" t="s">
        <v>133</v>
      </c>
      <c r="B6" s="26" t="n">
        <f aca="false">SUMIFS(Rendimentos!$F$6:$F$105,Rendimentos!$E$6:$E$105,"Tributável")</f>
        <v>78000</v>
      </c>
    </row>
    <row r="7" customFormat="false" ht="15" hidden="false" customHeight="false" outlineLevel="0" collapsed="false">
      <c r="A7" s="6" t="s">
        <v>134</v>
      </c>
      <c r="B7" s="26" t="n">
        <f aca="false">SUMIFS(Rendimentos!$F$6:$F$105,Rendimentos!$E$6:$E$105,"Exclusivo na fonte")</f>
        <v>7700</v>
      </c>
    </row>
    <row r="8" customFormat="false" ht="15" hidden="false" customHeight="false" outlineLevel="0" collapsed="false">
      <c r="A8" s="6" t="s">
        <v>135</v>
      </c>
      <c r="B8" s="26" t="n">
        <f aca="false">SUMIFS(Rendimentos!$F$6:$F$105,Rendimentos!$E$6:$E$105,"Isento ou não tributável")</f>
        <v>12000</v>
      </c>
    </row>
    <row r="9" customFormat="false" ht="15" hidden="false" customHeight="false" outlineLevel="0" collapsed="false">
      <c r="A9" s="6" t="s">
        <v>136</v>
      </c>
      <c r="B9" s="26" t="n">
        <f aca="false">SUMIFS(Rendimentos!$F$6:$F$105,Rendimentos!$E$6:$E$105,"Conferir")</f>
        <v>0</v>
      </c>
      <c r="C9" s="12" t="s">
        <v>137</v>
      </c>
    </row>
    <row r="10" customFormat="false" ht="15" hidden="false" customHeight="false" outlineLevel="0" collapsed="false">
      <c r="A10" s="6" t="s">
        <v>138</v>
      </c>
      <c r="B10" s="26" t="n">
        <f aca="false">SUM(Rendimentos!$G$6:$G$105)</f>
        <v>5330</v>
      </c>
    </row>
    <row r="12" customFormat="false" ht="15" hidden="false" customHeight="false" outlineLevel="0" collapsed="false">
      <c r="A12" s="25" t="s">
        <v>139</v>
      </c>
      <c r="B12" s="25"/>
      <c r="C12" s="25"/>
    </row>
    <row r="13" customFormat="false" ht="15" hidden="false" customHeight="false" outlineLevel="0" collapsed="false">
      <c r="A13" s="6" t="s">
        <v>140</v>
      </c>
      <c r="B13" s="26" t="n">
        <f aca="false">SUM(Rendimentos!$H$6:$H$105)+SUMIFS(Deduções!$F$6:$F$155,Deduções!$B$6:$B$155,"Previdência oficial (carnê ou GPS)")</f>
        <v>8556</v>
      </c>
    </row>
    <row r="14" customFormat="false" ht="15" hidden="false" customHeight="false" outlineLevel="0" collapsed="false">
      <c r="A14" s="6" t="s">
        <v>8</v>
      </c>
      <c r="B14" s="26" t="n">
        <f aca="false">COUNTA(Dependentes!$A$6:$A$15)*Parâmetros!$B$7</f>
        <v>2275.08</v>
      </c>
    </row>
    <row r="15" customFormat="false" ht="15" hidden="false" customHeight="false" outlineLevel="0" collapsed="false">
      <c r="A15" s="6" t="s">
        <v>141</v>
      </c>
      <c r="B15" s="26" t="n">
        <f aca="false">SUMIFS(Deduções!$F$6:$F$155,Deduções!$B$6:$B$155,"Saúde")</f>
        <v>3200</v>
      </c>
    </row>
    <row r="16" customFormat="false" ht="15" hidden="false" customHeight="false" outlineLevel="0" collapsed="false">
      <c r="A16" s="6" t="s">
        <v>142</v>
      </c>
      <c r="B16" s="26" t="n">
        <f aca="false">SUM(C50:C60)</f>
        <v>3561.5</v>
      </c>
      <c r="C16" s="12" t="s">
        <v>143</v>
      </c>
    </row>
    <row r="17" customFormat="false" ht="15" hidden="false" customHeight="false" outlineLevel="0" collapsed="false">
      <c r="A17" s="6" t="s">
        <v>144</v>
      </c>
      <c r="B17" s="26" t="n">
        <f aca="false">MIN(SUMIFS(Deduções!$F$6:$F$155,Deduções!$B$6:$B$155,"Previdência privada (PGBL)"),Parâmetros!$B$8*B6)</f>
        <v>3000</v>
      </c>
    </row>
    <row r="18" customFormat="false" ht="15" hidden="false" customHeight="false" outlineLevel="0" collapsed="false">
      <c r="A18" s="6" t="s">
        <v>145</v>
      </c>
      <c r="B18" s="26" t="n">
        <f aca="false">SUMIFS(Deduções!$F$6:$F$155,Deduções!$B$6:$B$155,"Pensão alimentícia judicial")</f>
        <v>0</v>
      </c>
    </row>
    <row r="19" customFormat="false" ht="15" hidden="false" customHeight="false" outlineLevel="0" collapsed="false">
      <c r="A19" s="14" t="s">
        <v>146</v>
      </c>
      <c r="B19" s="27" t="n">
        <f aca="false">SUM(B13:B18)</f>
        <v>20592.58</v>
      </c>
    </row>
    <row r="20" customFormat="false" ht="15" hidden="false" customHeight="false" outlineLevel="0" collapsed="false">
      <c r="A20" s="14" t="s">
        <v>147</v>
      </c>
      <c r="B20" s="27" t="n">
        <f aca="false">MAX(0,B6-B19)</f>
        <v>57407.42</v>
      </c>
      <c r="C20" s="12" t="s">
        <v>148</v>
      </c>
    </row>
    <row r="22" customFormat="false" ht="15" hidden="false" customHeight="false" outlineLevel="0" collapsed="false">
      <c r="A22" s="25" t="s">
        <v>149</v>
      </c>
      <c r="B22" s="25"/>
      <c r="C22" s="25"/>
    </row>
    <row r="23" customFormat="false" ht="15" hidden="false" customHeight="false" outlineLevel="0" collapsed="false">
      <c r="A23" s="6" t="s">
        <v>150</v>
      </c>
      <c r="B23" s="26" t="n">
        <f aca="false">SUM('Bens e Direitos'!$D$6:$D$65)</f>
        <v>45000</v>
      </c>
    </row>
    <row r="24" customFormat="false" ht="15" hidden="false" customHeight="false" outlineLevel="0" collapsed="false">
      <c r="A24" s="6" t="s">
        <v>151</v>
      </c>
      <c r="B24" s="26" t="n">
        <f aca="false">SUM('Bens e Direitos'!$E$6:$E$65)</f>
        <v>44200</v>
      </c>
    </row>
    <row r="25" customFormat="false" ht="15" hidden="false" customHeight="false" outlineLevel="0" collapsed="false">
      <c r="A25" s="6" t="s">
        <v>152</v>
      </c>
      <c r="B25" s="26" t="n">
        <f aca="false">SUM(Dívidas!$C$6:$C$35)</f>
        <v>15000</v>
      </c>
    </row>
    <row r="26" customFormat="false" ht="15" hidden="false" customHeight="false" outlineLevel="0" collapsed="false">
      <c r="A26" s="6" t="s">
        <v>153</v>
      </c>
      <c r="B26" s="26" t="n">
        <f aca="false">SUM(Dívidas!$D$6:$D$35)</f>
        <v>11000</v>
      </c>
    </row>
    <row r="27" customFormat="false" ht="15" hidden="false" customHeight="false" outlineLevel="0" collapsed="false">
      <c r="A27" s="14" t="s">
        <v>154</v>
      </c>
      <c r="B27" s="27" t="n">
        <f aca="false">B23-B25</f>
        <v>30000</v>
      </c>
    </row>
    <row r="28" customFormat="false" ht="15" hidden="false" customHeight="false" outlineLevel="0" collapsed="false">
      <c r="A28" s="14" t="s">
        <v>155</v>
      </c>
      <c r="B28" s="27" t="n">
        <f aca="false">B24-B26</f>
        <v>33200</v>
      </c>
    </row>
    <row r="29" customFormat="false" ht="15" hidden="false" customHeight="false" outlineLevel="0" collapsed="false">
      <c r="A29" s="14" t="s">
        <v>156</v>
      </c>
      <c r="B29" s="27" t="n">
        <f aca="false">B28-B27</f>
        <v>3200</v>
      </c>
    </row>
    <row r="32" customFormat="false" ht="15" hidden="false" customHeight="false" outlineLevel="0" collapsed="false">
      <c r="A32" s="25" t="s">
        <v>157</v>
      </c>
      <c r="B32" s="25"/>
      <c r="C32" s="25"/>
      <c r="D32" s="25"/>
    </row>
    <row r="33" customFormat="false" ht="21.75" hidden="false" customHeight="true" outlineLevel="0" collapsed="false">
      <c r="A33" s="4" t="s">
        <v>158</v>
      </c>
      <c r="B33" s="4" t="s">
        <v>159</v>
      </c>
      <c r="C33" s="4" t="s">
        <v>160</v>
      </c>
      <c r="D33" s="4" t="s">
        <v>161</v>
      </c>
    </row>
    <row r="34" customFormat="false" ht="15" hidden="false" customHeight="false" outlineLevel="0" collapsed="false">
      <c r="A34" s="6" t="s">
        <v>162</v>
      </c>
      <c r="B34" s="28" t="n">
        <f aca="false">IF(OR(Contribuinte!B5="",Contribuinte!B7="",NOT(IFERROR(AND(LEN(SUBSTITUTE(SUBSTITUTE(SUBSTITUTE(SUBSTITUTE(Contribuinte!B6,".",""),"-","")," ",""),"/",""))=11,SUBSTITUTE(SUBSTITUTE(SUBSTITUTE(SUBSTITUTE(Contribuinte!B6,".",""),"-","")," ",""),"/","")&lt;&gt;REPT(LEFT(SUBSTITUTE(SUBSTITUTE(SUBSTITUTE(SUBSTITUTE(Contribuinte!B6,".",""),"-","")," ",""),"/",""),1),11),VALUE(MID(SUBSTITUTE(SUBSTITUTE(SUBSTITUTE(SUBSTITUTE(Contribuinte!B6,".",""),"-","")," ",""),"/",""),10,1))=IF(MOD(SUMPRODUCT(--MID(SUBSTITUTE(SUBSTITUTE(SUBSTITUTE(SUBSTITUTE(Contribuinte!B6,".",""),"-","")," ",""),"/",""),{1,2,3,4,5,6,7,8,9},1),{10,9,8,7,6,5,4,3,2}),11)&lt;2,0,11-MOD(SUMPRODUCT(--MID(SUBSTITUTE(SUBSTITUTE(SUBSTITUTE(SUBSTITUTE(Contribuinte!B6,".",""),"-","")," ",""),"/",""),{1,2,3,4,5,6,7,8,9},1),{10,9,8,7,6,5,4,3,2}),11)),VALUE(MID(SUBSTITUTE(SUBSTITUTE(SUBSTITUTE(SUBSTITUTE(Contribuinte!B6,".",""),"-","")," ",""),"/",""),11,1))=IF(MOD(SUMPRODUCT(--MID(SUBSTITUTE(SUBSTITUTE(SUBSTITUTE(SUBSTITUTE(Contribuinte!B6,".",""),"-","")," ",""),"/",""),{1,2,3,4,5,6,7,8,9,10},1),{11,10,9,8,7,6,5,4,3,2}),11)&lt;2,0,11-MOD(SUMPRODUCT(--MID(SUBSTITUTE(SUBSTITUTE(SUBSTITUTE(SUBSTITUTE(Contribuinte!B6,".",""),"-","")," ",""),"/",""),{1,2,3,4,5,6,7,8,9,10},1),{11,10,9,8,7,6,5,4,3,2}),11))),FALSE()))),1,0)</f>
        <v>0</v>
      </c>
      <c r="C34" s="29" t="str">
        <f aca="false">IF(B34=0,"OK","Pendente")</f>
        <v>OK</v>
      </c>
      <c r="D34" s="30" t="s">
        <v>163</v>
      </c>
    </row>
    <row r="35" customFormat="false" ht="15" hidden="false" customHeight="false" outlineLevel="0" collapsed="false">
      <c r="A35" s="6" t="s">
        <v>164</v>
      </c>
      <c r="B35" s="28" t="n">
        <f aca="false">COUNTIF(Dependentes!F6:F15,"Revisar")</f>
        <v>0</v>
      </c>
      <c r="C35" s="29" t="str">
        <f aca="false">IF(B35=0,"OK","Pendente")</f>
        <v>OK</v>
      </c>
      <c r="D35" s="30" t="s">
        <v>165</v>
      </c>
    </row>
    <row r="36" customFormat="false" ht="15" hidden="false" customHeight="false" outlineLevel="0" collapsed="false">
      <c r="A36" s="6" t="s">
        <v>166</v>
      </c>
      <c r="B36" s="28" t="n">
        <f aca="false">COUNTIF(Rendimentos!K6:K105,"Revisar")</f>
        <v>0</v>
      </c>
      <c r="C36" s="29" t="str">
        <f aca="false">IF(B36=0,"OK","Pendente")</f>
        <v>OK</v>
      </c>
      <c r="D36" s="30" t="s">
        <v>167</v>
      </c>
    </row>
    <row r="37" customFormat="false" ht="15" hidden="false" customHeight="false" outlineLevel="0" collapsed="false">
      <c r="A37" s="6" t="s">
        <v>168</v>
      </c>
      <c r="B37" s="28" t="n">
        <f aca="false">COUNTIF(Rendimentos!K6:K105,"Falta informe")</f>
        <v>1</v>
      </c>
      <c r="C37" s="29" t="str">
        <f aca="false">IF(B37=0,"OK","Pendente")</f>
        <v>Pendente</v>
      </c>
      <c r="D37" s="30" t="s">
        <v>167</v>
      </c>
    </row>
    <row r="38" customFormat="false" ht="15" hidden="false" customHeight="false" outlineLevel="0" collapsed="false">
      <c r="A38" s="6" t="s">
        <v>169</v>
      </c>
      <c r="B38" s="28" t="n">
        <f aca="false">COUNTIF(Rendimentos!E6:E105,"Conferir")</f>
        <v>0</v>
      </c>
      <c r="C38" s="29" t="str">
        <f aca="false">IF(B38=0,"OK","Aviso")</f>
        <v>OK</v>
      </c>
      <c r="D38" s="30" t="s">
        <v>167</v>
      </c>
    </row>
    <row r="39" customFormat="false" ht="15" hidden="false" customHeight="false" outlineLevel="0" collapsed="false">
      <c r="A39" s="6" t="s">
        <v>170</v>
      </c>
      <c r="B39" s="28" t="n">
        <f aca="false">COUNTIF(Deduções!I6:I155,"Revisar")</f>
        <v>0</v>
      </c>
      <c r="C39" s="29" t="str">
        <f aca="false">IF(B39=0,"OK","Pendente")</f>
        <v>OK</v>
      </c>
      <c r="D39" s="30" t="s">
        <v>171</v>
      </c>
    </row>
    <row r="40" customFormat="false" ht="15" hidden="false" customHeight="false" outlineLevel="0" collapsed="false">
      <c r="A40" s="6" t="s">
        <v>172</v>
      </c>
      <c r="B40" s="28" t="n">
        <f aca="false">COUNTIF(Deduções!I6:I155,"Falta comprovante")</f>
        <v>1</v>
      </c>
      <c r="C40" s="29" t="str">
        <f aca="false">IF(B40=0,"OK","Pendente")</f>
        <v>Pendente</v>
      </c>
      <c r="D40" s="30" t="s">
        <v>171</v>
      </c>
    </row>
    <row r="41" customFormat="false" ht="15" hidden="false" customHeight="false" outlineLevel="0" collapsed="false">
      <c r="A41" s="6" t="s">
        <v>173</v>
      </c>
      <c r="B41" s="28" t="n">
        <f aca="false">COUNTIF(D50:D60,"&gt;0")</f>
        <v>1</v>
      </c>
      <c r="C41" s="29" t="str">
        <f aca="false">IF(B41=0,"OK","Aviso")</f>
        <v>Aviso</v>
      </c>
      <c r="D41" s="30" t="s">
        <v>171</v>
      </c>
    </row>
    <row r="42" customFormat="false" ht="15" hidden="false" customHeight="false" outlineLevel="0" collapsed="false">
      <c r="A42" s="6" t="s">
        <v>174</v>
      </c>
      <c r="B42" s="28" t="n">
        <f aca="false">IF(SUMIFS(Deduções!$F$6:$F$155,Deduções!$B$6:$B$155,"Previdência privada (PGBL)")&gt;Parâmetros!$B$8*B6,1,0)</f>
        <v>0</v>
      </c>
      <c r="C42" s="29" t="str">
        <f aca="false">IF(B42=0,"OK","Aviso")</f>
        <v>OK</v>
      </c>
      <c r="D42" s="30" t="s">
        <v>171</v>
      </c>
    </row>
    <row r="43" customFormat="false" ht="15" hidden="false" customHeight="false" outlineLevel="0" collapsed="false">
      <c r="A43" s="6" t="s">
        <v>175</v>
      </c>
      <c r="B43" s="28" t="n">
        <f aca="false">COUNTIF('Bens e Direitos'!G6:G65,"Revisar")+COUNTIF(Dívidas!F6:F35,"Revisar")</f>
        <v>0</v>
      </c>
      <c r="C43" s="29" t="str">
        <f aca="false">IF(B43=0,"OK","Pendente")</f>
        <v>OK</v>
      </c>
      <c r="D43" s="30" t="s">
        <v>176</v>
      </c>
    </row>
    <row r="44" customFormat="false" ht="15" hidden="false" customHeight="false" outlineLevel="0" collapsed="false">
      <c r="A44" s="6" t="s">
        <v>177</v>
      </c>
      <c r="B44" s="28" t="n">
        <f aca="false">COUNTIF(Checklist!E6:E25,"Pendente")</f>
        <v>0</v>
      </c>
      <c r="C44" s="29" t="str">
        <f aca="false">IF(B44=0,"OK","Pendente")</f>
        <v>OK</v>
      </c>
      <c r="D44" s="30" t="s">
        <v>178</v>
      </c>
    </row>
    <row r="46" customFormat="false" ht="15" hidden="false" customHeight="false" outlineLevel="0" collapsed="false">
      <c r="A46" s="14" t="s">
        <v>179</v>
      </c>
      <c r="B46" s="28" t="n">
        <f aca="false">SUMIFS(B34:B44,C34:C44,"Pendente")</f>
        <v>2</v>
      </c>
    </row>
    <row r="47" customFormat="false" ht="15" hidden="false" customHeight="false" outlineLevel="0" collapsed="false">
      <c r="A47" s="14" t="s">
        <v>180</v>
      </c>
      <c r="B47" s="28" t="n">
        <f aca="false">COUNTIF(C34:C44,"Aviso")</f>
        <v>1</v>
      </c>
    </row>
    <row r="48" customFormat="false" ht="15" hidden="false" customHeight="false" outlineLevel="0" collapsed="false">
      <c r="A48" s="8" t="s">
        <v>181</v>
      </c>
      <c r="B48" s="9"/>
      <c r="C48" s="9"/>
      <c r="D48" s="9"/>
    </row>
    <row r="49" customFormat="false" ht="21.75" hidden="false" customHeight="true" outlineLevel="0" collapsed="false">
      <c r="A49" s="4" t="s">
        <v>79</v>
      </c>
      <c r="B49" s="4" t="s">
        <v>182</v>
      </c>
      <c r="C49" s="4" t="s">
        <v>183</v>
      </c>
      <c r="D49" s="4" t="s">
        <v>184</v>
      </c>
    </row>
    <row r="50" customFormat="false" ht="15" hidden="false" customHeight="false" outlineLevel="0" collapsed="false">
      <c r="A50" s="6" t="str">
        <f aca="false">IF(Listas!K5="","",Listas!K5)</f>
        <v>Fulano de Tal (exemplo)</v>
      </c>
      <c r="B50" s="26" t="n">
        <f aca="false">IF(A50="","",SUMIFS(Deduções!$F$6:$F$155,Deduções!$B$6:$B$155,"Educação",Deduções!$C$6:$C$155,A50))</f>
        <v>0</v>
      </c>
      <c r="C50" s="26" t="n">
        <f aca="false">IF(A50="","",MIN(B50,Parâmetros!$B$6))</f>
        <v>0</v>
      </c>
      <c r="D50" s="26" t="n">
        <f aca="false">IF(A50="","",B50-C50)</f>
        <v>0</v>
      </c>
    </row>
    <row r="51" customFormat="false" ht="15" hidden="false" customHeight="false" outlineLevel="0" collapsed="false">
      <c r="A51" s="6" t="str">
        <f aca="false">IF(Listas!K6="","",Listas!K6)</f>
        <v>Filho Exemplo</v>
      </c>
      <c r="B51" s="26" t="n">
        <f aca="false">IF(A51="","",SUMIFS(Deduções!$F$6:$F$155,Deduções!$B$6:$B$155,"Educação",Deduções!$C$6:$C$155,A51))</f>
        <v>5200</v>
      </c>
      <c r="C51" s="26" t="n">
        <f aca="false">IF(A51="","",MIN(B51,Parâmetros!$B$6))</f>
        <v>3561.5</v>
      </c>
      <c r="D51" s="26" t="n">
        <f aca="false">IF(A51="","",B51-C51)</f>
        <v>1638.5</v>
      </c>
    </row>
    <row r="52" customFormat="false" ht="15" hidden="false" customHeight="false" outlineLevel="0" collapsed="false">
      <c r="A52" s="6" t="str">
        <f aca="false">IF(Listas!K7="","",Listas!K7)</f>
        <v/>
      </c>
      <c r="B52" s="26" t="str">
        <f aca="false">IF(A52="","",SUMIFS(Deduções!$F$6:$F$155,Deduções!$B$6:$B$155,"Educação",Deduções!$C$6:$C$155,A52))</f>
        <v/>
      </c>
      <c r="C52" s="26" t="str">
        <f aca="false">IF(A52="","",MIN(B52,Parâmetros!$B$6))</f>
        <v/>
      </c>
      <c r="D52" s="26" t="str">
        <f aca="false">IF(A52="","",B52-C52)</f>
        <v/>
      </c>
    </row>
    <row r="53" customFormat="false" ht="15" hidden="false" customHeight="false" outlineLevel="0" collapsed="false">
      <c r="A53" s="6" t="str">
        <f aca="false">IF(Listas!K8="","",Listas!K8)</f>
        <v/>
      </c>
      <c r="B53" s="26" t="str">
        <f aca="false">IF(A53="","",SUMIFS(Deduções!$F$6:$F$155,Deduções!$B$6:$B$155,"Educação",Deduções!$C$6:$C$155,A53))</f>
        <v/>
      </c>
      <c r="C53" s="26" t="str">
        <f aca="false">IF(A53="","",MIN(B53,Parâmetros!$B$6))</f>
        <v/>
      </c>
      <c r="D53" s="26" t="str">
        <f aca="false">IF(A53="","",B53-C53)</f>
        <v/>
      </c>
    </row>
    <row r="54" customFormat="false" ht="15" hidden="false" customHeight="false" outlineLevel="0" collapsed="false">
      <c r="A54" s="6" t="str">
        <f aca="false">IF(Listas!K9="","",Listas!K9)</f>
        <v/>
      </c>
      <c r="B54" s="26" t="str">
        <f aca="false">IF(A54="","",SUMIFS(Deduções!$F$6:$F$155,Deduções!$B$6:$B$155,"Educação",Deduções!$C$6:$C$155,A54))</f>
        <v/>
      </c>
      <c r="C54" s="26" t="str">
        <f aca="false">IF(A54="","",MIN(B54,Parâmetros!$B$6))</f>
        <v/>
      </c>
      <c r="D54" s="26" t="str">
        <f aca="false">IF(A54="","",B54-C54)</f>
        <v/>
      </c>
    </row>
    <row r="55" customFormat="false" ht="15" hidden="false" customHeight="false" outlineLevel="0" collapsed="false">
      <c r="A55" s="6" t="str">
        <f aca="false">IF(Listas!K10="","",Listas!K10)</f>
        <v/>
      </c>
      <c r="B55" s="26" t="str">
        <f aca="false">IF(A55="","",SUMIFS(Deduções!$F$6:$F$155,Deduções!$B$6:$B$155,"Educação",Deduções!$C$6:$C$155,A55))</f>
        <v/>
      </c>
      <c r="C55" s="26" t="str">
        <f aca="false">IF(A55="","",MIN(B55,Parâmetros!$B$6))</f>
        <v/>
      </c>
      <c r="D55" s="26" t="str">
        <f aca="false">IF(A55="","",B55-C55)</f>
        <v/>
      </c>
    </row>
    <row r="56" customFormat="false" ht="15" hidden="false" customHeight="false" outlineLevel="0" collapsed="false">
      <c r="A56" s="6" t="str">
        <f aca="false">IF(Listas!K11="","",Listas!K11)</f>
        <v/>
      </c>
      <c r="B56" s="26" t="str">
        <f aca="false">IF(A56="","",SUMIFS(Deduções!$F$6:$F$155,Deduções!$B$6:$B$155,"Educação",Deduções!$C$6:$C$155,A56))</f>
        <v/>
      </c>
      <c r="C56" s="26" t="str">
        <f aca="false">IF(A56="","",MIN(B56,Parâmetros!$B$6))</f>
        <v/>
      </c>
      <c r="D56" s="26" t="str">
        <f aca="false">IF(A56="","",B56-C56)</f>
        <v/>
      </c>
    </row>
    <row r="57" customFormat="false" ht="15" hidden="false" customHeight="false" outlineLevel="0" collapsed="false">
      <c r="A57" s="6" t="str">
        <f aca="false">IF(Listas!K12="","",Listas!K12)</f>
        <v/>
      </c>
      <c r="B57" s="26" t="str">
        <f aca="false">IF(A57="","",SUMIFS(Deduções!$F$6:$F$155,Deduções!$B$6:$B$155,"Educação",Deduções!$C$6:$C$155,A57))</f>
        <v/>
      </c>
      <c r="C57" s="26" t="str">
        <f aca="false">IF(A57="","",MIN(B57,Parâmetros!$B$6))</f>
        <v/>
      </c>
      <c r="D57" s="26" t="str">
        <f aca="false">IF(A57="","",B57-C57)</f>
        <v/>
      </c>
    </row>
    <row r="58" customFormat="false" ht="15" hidden="false" customHeight="false" outlineLevel="0" collapsed="false">
      <c r="A58" s="6" t="str">
        <f aca="false">IF(Listas!K13="","",Listas!K13)</f>
        <v/>
      </c>
      <c r="B58" s="26" t="str">
        <f aca="false">IF(A58="","",SUMIFS(Deduções!$F$6:$F$155,Deduções!$B$6:$B$155,"Educação",Deduções!$C$6:$C$155,A58))</f>
        <v/>
      </c>
      <c r="C58" s="26" t="str">
        <f aca="false">IF(A58="","",MIN(B58,Parâmetros!$B$6))</f>
        <v/>
      </c>
      <c r="D58" s="26" t="str">
        <f aca="false">IF(A58="","",B58-C58)</f>
        <v/>
      </c>
    </row>
    <row r="59" customFormat="false" ht="15" hidden="false" customHeight="false" outlineLevel="0" collapsed="false">
      <c r="A59" s="6" t="str">
        <f aca="false">IF(Listas!K14="","",Listas!K14)</f>
        <v/>
      </c>
      <c r="B59" s="26" t="str">
        <f aca="false">IF(A59="","",SUMIFS(Deduções!$F$6:$F$155,Deduções!$B$6:$B$155,"Educação",Deduções!$C$6:$C$155,A59))</f>
        <v/>
      </c>
      <c r="C59" s="26" t="str">
        <f aca="false">IF(A59="","",MIN(B59,Parâmetros!$B$6))</f>
        <v/>
      </c>
      <c r="D59" s="26" t="str">
        <f aca="false">IF(A59="","",B59-C59)</f>
        <v/>
      </c>
    </row>
    <row r="60" customFormat="false" ht="15" hidden="false" customHeight="false" outlineLevel="0" collapsed="false">
      <c r="A60" s="6" t="str">
        <f aca="false">IF(Listas!K15="","",Listas!K15)</f>
        <v/>
      </c>
      <c r="B60" s="26" t="str">
        <f aca="false">IF(A60="","",SUMIFS(Deduções!$F$6:$F$155,Deduções!$B$6:$B$155,"Educação",Deduções!$C$6:$C$155,A60))</f>
        <v/>
      </c>
      <c r="C60" s="26" t="str">
        <f aca="false">IF(A60="","",MIN(B60,Parâmetros!$B$6))</f>
        <v/>
      </c>
      <c r="D60" s="26" t="str">
        <f aca="false">IF(A60="","",B60-C60)</f>
        <v/>
      </c>
    </row>
  </sheetData>
  <conditionalFormatting sqref="B29">
    <cfRule type="cellIs" priority="2" operator="lessThan" aboveAverage="0" equalAverage="0" bottom="0" percent="0" rank="0" text="" dxfId="4">
      <formula>0</formula>
    </cfRule>
  </conditionalFormatting>
  <conditionalFormatting sqref="C34:C44">
    <cfRule type="cellIs" priority="3" operator="equal" aboveAverage="0" equalAverage="0" bottom="0" percent="0" rank="0" text="" dxfId="1">
      <formula>"OK"</formula>
    </cfRule>
    <cfRule type="cellIs" priority="4" operator="equal" aboveAverage="0" equalAverage="0" bottom="0" percent="0" rank="0" text="" dxfId="0">
      <formula>"Revisar"</formula>
    </cfRule>
    <cfRule type="cellIs" priority="5" operator="equal" aboveAverage="0" equalAverage="0" bottom="0" percent="0" rank="0" text="" dxfId="2">
      <formula>"Falta informe"</formula>
    </cfRule>
    <cfRule type="cellIs" priority="6" operator="equal" aboveAverage="0" equalAverage="0" bottom="0" percent="0" rank="0" text="" dxfId="2">
      <formula>"Falta comprovante"</formula>
    </cfRule>
    <cfRule type="cellIs" priority="7" operator="equal" aboveAverage="0" equalAverage="0" bottom="0" percent="0" rank="0" text="" dxfId="2">
      <formula>"Acima do limite"</formula>
    </cfRule>
    <cfRule type="cellIs" priority="8" operator="equal" aboveAverage="0" equalAverage="0" bottom="0" percent="0" rank="0" text="" dxfId="0">
      <formula>"Pendente"</formula>
    </cfRule>
    <cfRule type="cellIs" priority="9" operator="equal" aboveAverage="0" equalAverage="0" bottom="0" percent="0" rank="0" text="" dxfId="2">
      <formula>"Aviso"</formula>
    </cfRule>
    <cfRule type="cellIs" priority="10" operator="equal" aboveAverage="0" equalAverage="0" bottom="0" percent="0" rank="0" text="" dxfId="3">
      <formula>"Opcional"</formula>
    </cfRule>
    <cfRule type="cellIs" priority="11" operator="equal" aboveAverage="0" equalAverage="0" bottom="0" percent="0" rank="0" text="" dxfId="1">
      <formula>"Sim"</formula>
    </cfRule>
    <cfRule type="cellIs" priority="12" operator="equal" aboveAverage="0" equalAverage="0" bottom="0" percent="0" rank="0" text="" dxfId="0">
      <formula>"Não"</formula>
    </cfRule>
    <cfRule type="cellIs" priority="13" operator="equal" aboveAverage="0" equalAverage="0" bottom="0" percent="0" rank="0" text="" dxfId="1">
      <formula>"CPF válido"</formula>
    </cfRule>
    <cfRule type="cellIs" priority="14" operator="equal" aboveAverage="0" equalAverage="0" bottom="0" percent="0" rank="0" text="" dxfId="0">
      <formula>"CPF inválido"</formula>
    </cfRule>
    <cfRule type="cellIs" priority="15" operator="equal" aboveAverage="0" equalAverage="0" bottom="0" percent="0" rank="0" text="" dxfId="2">
      <formula>"Preencher"</formula>
    </cfRule>
  </conditionalFormatting>
  <hyperlinks>
    <hyperlink ref="A1" location="'Menu'!A1" display="◄ Voltar ao Menu"/>
    <hyperlink ref="D34" location="'Contribuinte'!A1" display="Ir para Contribuinte"/>
    <hyperlink ref="D35" location="'Dependentes'!A1" display="Ir para Dependentes"/>
    <hyperlink ref="D36" location="'Rendimentos'!A1" display="Ir para Rendimentos"/>
    <hyperlink ref="D37" location="'Rendimentos'!A1" display="Ir para Rendimentos"/>
    <hyperlink ref="D38" location="'Rendimentos'!A1" display="Ir para Rendimentos"/>
    <hyperlink ref="D39" location="'Deduções'!A1" display="Ir para Deduções"/>
    <hyperlink ref="D40" location="'Deduções'!A1" display="Ir para Deduções"/>
    <hyperlink ref="D41" location="'Deduções'!A1" display="Ir para Deduções"/>
    <hyperlink ref="D42" location="'Deduções'!A1" display="Ir para Deduções"/>
    <hyperlink ref="D43" location="'Bens e Direitos'!A1" display="Ir para Bens e Direitos"/>
    <hyperlink ref="D44" location="'Checklist'!A1" display="Ir para Check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5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22</v>
      </c>
    </row>
    <row r="3" customFormat="false" ht="21.75" hidden="false" customHeight="true" outlineLevel="0" collapsed="false">
      <c r="A3" s="4" t="s">
        <v>185</v>
      </c>
      <c r="B3" s="4" t="s">
        <v>186</v>
      </c>
      <c r="C3" s="4" t="s">
        <v>65</v>
      </c>
    </row>
    <row r="4" customFormat="false" ht="15" hidden="false" customHeight="false" outlineLevel="0" collapsed="false">
      <c r="A4" s="31" t="s">
        <v>187</v>
      </c>
      <c r="B4" s="32" t="n">
        <v>2026</v>
      </c>
      <c r="C4" s="33" t="s">
        <v>188</v>
      </c>
    </row>
    <row r="5" customFormat="false" ht="15" hidden="false" customHeight="false" outlineLevel="0" collapsed="false">
      <c r="A5" s="31" t="s">
        <v>189</v>
      </c>
      <c r="B5" s="28" t="n">
        <f aca="false">B4+1</f>
        <v>2027</v>
      </c>
      <c r="C5" s="33" t="s">
        <v>190</v>
      </c>
    </row>
    <row r="6" customFormat="false" ht="15" hidden="false" customHeight="false" outlineLevel="0" collapsed="false">
      <c r="A6" s="31" t="s">
        <v>191</v>
      </c>
      <c r="B6" s="34" t="n">
        <v>3561.5</v>
      </c>
      <c r="C6" s="33" t="s">
        <v>192</v>
      </c>
    </row>
    <row r="7" customFormat="false" ht="15" hidden="false" customHeight="false" outlineLevel="0" collapsed="false">
      <c r="A7" s="31" t="s">
        <v>193</v>
      </c>
      <c r="B7" s="34" t="n">
        <v>2275.08</v>
      </c>
      <c r="C7" s="33" t="s">
        <v>192</v>
      </c>
    </row>
    <row r="8" customFormat="false" ht="15" hidden="false" customHeight="false" outlineLevel="0" collapsed="false">
      <c r="A8" s="31" t="s">
        <v>194</v>
      </c>
      <c r="B8" s="35" t="n">
        <v>0.12</v>
      </c>
      <c r="C8" s="33" t="s">
        <v>195</v>
      </c>
    </row>
    <row r="10" customFormat="false" ht="15" hidden="false" customHeight="false" outlineLevel="0" collapsed="false">
      <c r="A10" s="36" t="s">
        <v>196</v>
      </c>
    </row>
  </sheetData>
  <dataValidations count="1">
    <dataValidation allowBlank="false" error="Informe um ano válido." errorStyle="stop" operator="between" showDropDown="false" showErrorMessage="true" showInputMessage="false" sqref="B4" type="whole">
      <formula1>2000</formula1>
      <formula2>2100</formula2>
    </dataValidation>
  </dataValidations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3"/>
    <col collapsed="false" customWidth="true" hidden="false" outlineLevel="0" max="9" min="9" style="0" width="10"/>
    <col collapsed="false" customWidth="true" hidden="false" outlineLevel="0" max="10" min="10" style="0" width="3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1" t="s">
        <v>32</v>
      </c>
    </row>
    <row r="2" customFormat="false" ht="17.35" hidden="false" customHeight="false" outlineLevel="0" collapsed="false">
      <c r="A2" s="13" t="s">
        <v>197</v>
      </c>
    </row>
    <row r="3" customFormat="false" ht="15" hidden="false" customHeight="false" outlineLevel="0" collapsed="false">
      <c r="A3" s="12" t="s">
        <v>198</v>
      </c>
    </row>
    <row r="4" customFormat="false" ht="21.75" hidden="false" customHeight="true" outlineLevel="0" collapsed="false">
      <c r="A4" s="4" t="s">
        <v>59</v>
      </c>
      <c r="B4" s="4" t="s">
        <v>199</v>
      </c>
      <c r="D4" s="4" t="s">
        <v>78</v>
      </c>
      <c r="F4" s="4" t="s">
        <v>49</v>
      </c>
      <c r="G4" s="4" t="s">
        <v>200</v>
      </c>
      <c r="I4" s="4" t="s">
        <v>201</v>
      </c>
      <c r="K4" s="4" t="s">
        <v>202</v>
      </c>
    </row>
    <row r="5" customFormat="false" ht="15" hidden="false" customHeight="false" outlineLevel="0" collapsed="false">
      <c r="A5" s="31" t="s">
        <v>68</v>
      </c>
      <c r="B5" s="31" t="s">
        <v>203</v>
      </c>
      <c r="D5" s="31" t="s">
        <v>84</v>
      </c>
      <c r="F5" s="31" t="s">
        <v>204</v>
      </c>
      <c r="G5" s="31" t="s">
        <v>205</v>
      </c>
      <c r="I5" s="31" t="s">
        <v>69</v>
      </c>
      <c r="K5" s="31" t="str">
        <f aca="false">IF(Contribuinte!B5="","",Contribuinte!B5)</f>
        <v>Fulano de Tal (exemplo)</v>
      </c>
    </row>
    <row r="6" customFormat="false" ht="15" hidden="false" customHeight="false" outlineLevel="0" collapsed="false">
      <c r="A6" s="31" t="s">
        <v>206</v>
      </c>
      <c r="B6" s="31" t="s">
        <v>203</v>
      </c>
      <c r="D6" s="31" t="s">
        <v>88</v>
      </c>
      <c r="F6" s="31" t="s">
        <v>54</v>
      </c>
      <c r="G6" s="31" t="s">
        <v>101</v>
      </c>
      <c r="I6" s="31" t="s">
        <v>75</v>
      </c>
      <c r="K6" s="31" t="str">
        <f aca="false">IF(Dependentes!A6="","",Dependentes!A6)</f>
        <v>Filho Exemplo</v>
      </c>
    </row>
    <row r="7" customFormat="false" ht="15" hidden="false" customHeight="false" outlineLevel="0" collapsed="false">
      <c r="A7" s="31" t="s">
        <v>70</v>
      </c>
      <c r="B7" s="31" t="s">
        <v>207</v>
      </c>
      <c r="D7" s="31" t="s">
        <v>91</v>
      </c>
      <c r="F7" s="31" t="s">
        <v>208</v>
      </c>
      <c r="G7" s="31" t="s">
        <v>209</v>
      </c>
      <c r="I7" s="31"/>
      <c r="K7" s="31" t="str">
        <f aca="false">IF(Dependentes!A7="","",Dependentes!A7)</f>
        <v/>
      </c>
    </row>
    <row r="8" customFormat="false" ht="15" hidden="false" customHeight="false" outlineLevel="0" collapsed="false">
      <c r="A8" s="31" t="s">
        <v>210</v>
      </c>
      <c r="B8" s="31" t="s">
        <v>203</v>
      </c>
      <c r="D8" s="31" t="s">
        <v>211</v>
      </c>
      <c r="F8" s="31" t="s">
        <v>212</v>
      </c>
      <c r="G8" s="31" t="s">
        <v>213</v>
      </c>
      <c r="I8" s="31"/>
      <c r="K8" s="31" t="str">
        <f aca="false">IF(Dependentes!A8="","",Dependentes!A8)</f>
        <v/>
      </c>
    </row>
    <row r="9" customFormat="false" ht="15" hidden="false" customHeight="false" outlineLevel="0" collapsed="false">
      <c r="A9" s="31" t="s">
        <v>214</v>
      </c>
      <c r="B9" s="31" t="s">
        <v>203</v>
      </c>
      <c r="D9" s="31" t="s">
        <v>145</v>
      </c>
      <c r="F9" s="31" t="s">
        <v>215</v>
      </c>
      <c r="G9" s="31" t="s">
        <v>216</v>
      </c>
      <c r="I9" s="31"/>
      <c r="K9" s="31" t="str">
        <f aca="false">IF(Dependentes!A9="","",Dependentes!A9)</f>
        <v/>
      </c>
    </row>
    <row r="10" customFormat="false" ht="15" hidden="false" customHeight="false" outlineLevel="0" collapsed="false">
      <c r="A10" s="31" t="s">
        <v>217</v>
      </c>
      <c r="B10" s="31" t="s">
        <v>203</v>
      </c>
      <c r="D10" s="31"/>
      <c r="F10" s="31"/>
      <c r="G10" s="31" t="s">
        <v>104</v>
      </c>
      <c r="I10" s="31"/>
      <c r="K10" s="31" t="str">
        <f aca="false">IF(Dependentes!A10="","",Dependentes!A10)</f>
        <v/>
      </c>
    </row>
    <row r="11" customFormat="false" ht="15" hidden="false" customHeight="false" outlineLevel="0" collapsed="false">
      <c r="A11" s="31" t="s">
        <v>218</v>
      </c>
      <c r="B11" s="31" t="s">
        <v>203</v>
      </c>
      <c r="D11" s="31"/>
      <c r="F11" s="31"/>
      <c r="G11" s="31" t="s">
        <v>219</v>
      </c>
      <c r="I11" s="31"/>
      <c r="K11" s="31" t="str">
        <f aca="false">IF(Dependentes!A11="","",Dependentes!A11)</f>
        <v/>
      </c>
    </row>
    <row r="12" customFormat="false" ht="15" hidden="false" customHeight="false" outlineLevel="0" collapsed="false">
      <c r="A12" s="31" t="s">
        <v>73</v>
      </c>
      <c r="B12" s="31" t="s">
        <v>207</v>
      </c>
      <c r="D12" s="31"/>
      <c r="F12" s="31"/>
      <c r="G12" s="31" t="s">
        <v>220</v>
      </c>
      <c r="I12" s="31"/>
      <c r="K12" s="31" t="str">
        <f aca="false">IF(Dependentes!A12="","",Dependentes!A12)</f>
        <v/>
      </c>
    </row>
    <row r="13" customFormat="false" ht="15" hidden="false" customHeight="false" outlineLevel="0" collapsed="false">
      <c r="A13" s="31" t="s">
        <v>74</v>
      </c>
      <c r="B13" s="31" t="s">
        <v>221</v>
      </c>
      <c r="D13" s="31"/>
      <c r="F13" s="31"/>
      <c r="G13" s="31" t="s">
        <v>222</v>
      </c>
      <c r="I13" s="31"/>
      <c r="K13" s="31" t="str">
        <f aca="false">IF(Dependentes!A13="","",Dependentes!A13)</f>
        <v/>
      </c>
    </row>
    <row r="14" customFormat="false" ht="15" hidden="false" customHeight="false" outlineLevel="0" collapsed="false">
      <c r="A14" s="31" t="s">
        <v>223</v>
      </c>
      <c r="B14" s="31" t="s">
        <v>224</v>
      </c>
      <c r="D14" s="31"/>
      <c r="F14" s="31"/>
      <c r="G14" s="31"/>
      <c r="I14" s="31"/>
      <c r="K14" s="31" t="str">
        <f aca="false">IF(Dependentes!A14="","",Dependentes!A14)</f>
        <v/>
      </c>
    </row>
    <row r="15" customFormat="false" ht="15" hidden="false" customHeight="false" outlineLevel="0" collapsed="false">
      <c r="A15" s="31" t="s">
        <v>225</v>
      </c>
      <c r="B15" s="31" t="s">
        <v>224</v>
      </c>
      <c r="D15" s="31"/>
      <c r="F15" s="31"/>
      <c r="G15" s="31"/>
      <c r="I15" s="31"/>
      <c r="K15" s="31" t="str">
        <f aca="false">IF(Dependentes!A15="","",Dependentes!A15)</f>
        <v/>
      </c>
    </row>
    <row r="16" customFormat="false" ht="15" hidden="false" customHeight="false" outlineLevel="0" collapsed="false">
      <c r="A16" s="31" t="s">
        <v>226</v>
      </c>
      <c r="B16" s="31" t="s">
        <v>224</v>
      </c>
      <c r="D16" s="31"/>
      <c r="F16" s="31"/>
      <c r="G16" s="31"/>
      <c r="I16" s="31"/>
      <c r="K16" s="31"/>
    </row>
  </sheetData>
  <hyperlinks>
    <hyperlink ref="A1" location="'Menu'!A1" display="◄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2026-10-03T22:01:12Z</dcterms:created>
  <dc:creator>openpyxl</dc:creator>
  <dc:description/>
  <dc:language>en-US</dc:language>
  <cp:lastModifiedBy/>
  <dcterms:modified xsi:type="dcterms:W3CDTF">2026-10-03T22:01:12Z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